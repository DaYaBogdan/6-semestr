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CBB45ED4-2F93-4BE4-9744-A6AE28709D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apiscore_whr" sheetId="1" r:id="rId1"/>
  </sheets>
  <calcPr calcId="181029"/>
</workbook>
</file>

<file path=xl/calcChain.xml><?xml version="1.0" encoding="utf-8"?>
<calcChain xmlns="http://schemas.openxmlformats.org/spreadsheetml/2006/main">
  <c r="K59" i="1" l="1"/>
  <c r="K71" i="1"/>
  <c r="K83" i="1"/>
  <c r="K95" i="1"/>
  <c r="K107" i="1"/>
  <c r="K119" i="1"/>
  <c r="K131" i="1"/>
  <c r="K143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J144" i="1"/>
  <c r="K144" i="1" s="1"/>
  <c r="J145" i="1"/>
  <c r="K145" i="1" s="1"/>
  <c r="J146" i="1"/>
  <c r="K146" i="1" s="1"/>
  <c r="J147" i="1"/>
  <c r="K147" i="1" s="1"/>
  <c r="J148" i="1"/>
  <c r="K148" i="1" s="1"/>
  <c r="J2" i="1"/>
  <c r="K2" i="1" s="1"/>
</calcChain>
</file>

<file path=xl/sharedStrings.xml><?xml version="1.0" encoding="utf-8"?>
<sst xmlns="http://schemas.openxmlformats.org/spreadsheetml/2006/main" count="1051" uniqueCount="926">
  <si>
    <t>geo</t>
  </si>
  <si>
    <t>name</t>
  </si>
  <si>
    <t>2019</t>
  </si>
  <si>
    <t>2020</t>
  </si>
  <si>
    <t>2021</t>
  </si>
  <si>
    <t>2022</t>
  </si>
  <si>
    <t>2023</t>
  </si>
  <si>
    <t>afg</t>
  </si>
  <si>
    <t>Afghanistan</t>
  </si>
  <si>
    <t>35.72</t>
  </si>
  <si>
    <t>26.94</t>
  </si>
  <si>
    <t>23.75</t>
  </si>
  <si>
    <t>24.36</t>
  </si>
  <si>
    <t>12.81</t>
  </si>
  <si>
    <t>14.46</t>
  </si>
  <si>
    <t>ago</t>
  </si>
  <si>
    <t>Angola</t>
  </si>
  <si>
    <t>alb</t>
  </si>
  <si>
    <t>Albania</t>
  </si>
  <si>
    <t>46.4</t>
  </si>
  <si>
    <t>50.04</t>
  </si>
  <si>
    <t>49.95</t>
  </si>
  <si>
    <t>53.65</t>
  </si>
  <si>
    <t>52.55</t>
  </si>
  <si>
    <t>52.12</t>
  </si>
  <si>
    <t>54.45</t>
  </si>
  <si>
    <t>are</t>
  </si>
  <si>
    <t>UAE</t>
  </si>
  <si>
    <t>67.11</t>
  </si>
  <si>
    <t>64.58</t>
  </si>
  <si>
    <t>67.33</t>
  </si>
  <si>
    <t>67.38</t>
  </si>
  <si>
    <t>67.28</t>
  </si>
  <si>
    <t>arg</t>
  </si>
  <si>
    <t>Argentina</t>
  </si>
  <si>
    <t>64.41</t>
  </si>
  <si>
    <t>66.71</t>
  </si>
  <si>
    <t>57.93</t>
  </si>
  <si>
    <t>60.86</t>
  </si>
  <si>
    <t>59.01</t>
  </si>
  <si>
    <t>59.08</t>
  </si>
  <si>
    <t>62.61</t>
  </si>
  <si>
    <t>63.93</t>
  </si>
  <si>
    <t>arm</t>
  </si>
  <si>
    <t>Armenia</t>
  </si>
  <si>
    <t>44.53</t>
  </si>
  <si>
    <t>54.88</t>
  </si>
  <si>
    <t>53.01</t>
  </si>
  <si>
    <t>53.82</t>
  </si>
  <si>
    <t>56.79</t>
  </si>
  <si>
    <t>aus</t>
  </si>
  <si>
    <t>Australia</t>
  </si>
  <si>
    <t>72.57</t>
  </si>
  <si>
    <t>72.34</t>
  </si>
  <si>
    <t>71.37</t>
  </si>
  <si>
    <t>71.12</t>
  </si>
  <si>
    <t>70.35</t>
  </si>
  <si>
    <t>70.25</t>
  </si>
  <si>
    <t>aut</t>
  </si>
  <si>
    <t>Austria</t>
  </si>
  <si>
    <t>71.95</t>
  </si>
  <si>
    <t>72.13</t>
  </si>
  <si>
    <t>70.8</t>
  </si>
  <si>
    <t>69.99</t>
  </si>
  <si>
    <t>66.36</t>
  </si>
  <si>
    <t>aze</t>
  </si>
  <si>
    <t>Azerbaijan</t>
  </si>
  <si>
    <t>45.74</t>
  </si>
  <si>
    <t>49.11</t>
  </si>
  <si>
    <t>51.68</t>
  </si>
  <si>
    <t>51.73</t>
  </si>
  <si>
    <t>45.76</t>
  </si>
  <si>
    <t>52.14</t>
  </si>
  <si>
    <t>bdi</t>
  </si>
  <si>
    <t>Burundi</t>
  </si>
  <si>
    <t>bel</t>
  </si>
  <si>
    <t>Belgium</t>
  </si>
  <si>
    <t>67.72</t>
  </si>
  <si>
    <t>68.39</t>
  </si>
  <si>
    <t>68.82</t>
  </si>
  <si>
    <t>68.57</t>
  </si>
  <si>
    <t>69.44</t>
  </si>
  <si>
    <t>ben</t>
  </si>
  <si>
    <t>Benin</t>
  </si>
  <si>
    <t>49.76</t>
  </si>
  <si>
    <t>44.08</t>
  </si>
  <si>
    <t>44.93</t>
  </si>
  <si>
    <t>42.17</t>
  </si>
  <si>
    <t>44.2</t>
  </si>
  <si>
    <t>bfa</t>
  </si>
  <si>
    <t>Burkina Faso</t>
  </si>
  <si>
    <t>47.85</t>
  </si>
  <si>
    <t>49.27</t>
  </si>
  <si>
    <t>47.41</t>
  </si>
  <si>
    <t>46.36</t>
  </si>
  <si>
    <t>44.62</t>
  </si>
  <si>
    <t>bgd</t>
  </si>
  <si>
    <t>Bangladesh</t>
  </si>
  <si>
    <t>47.24</t>
  </si>
  <si>
    <t>44.99</t>
  </si>
  <si>
    <t>51.14</t>
  </si>
  <si>
    <t>52.8</t>
  </si>
  <si>
    <t>41.23</t>
  </si>
  <si>
    <t>34.08</t>
  </si>
  <si>
    <t>41.14</t>
  </si>
  <si>
    <t>bgr</t>
  </si>
  <si>
    <t>Bulgaria</t>
  </si>
  <si>
    <t>48.65</t>
  </si>
  <si>
    <t>48.38</t>
  </si>
  <si>
    <t>51.08</t>
  </si>
  <si>
    <t>55.98</t>
  </si>
  <si>
    <t>54.22</t>
  </si>
  <si>
    <t>53.78</t>
  </si>
  <si>
    <t>55.9</t>
  </si>
  <si>
    <t>bhr</t>
  </si>
  <si>
    <t>Bahrain</t>
  </si>
  <si>
    <t>66.9</t>
  </si>
  <si>
    <t>60.07</t>
  </si>
  <si>
    <t>62.27</t>
  </si>
  <si>
    <t>70.98</t>
  </si>
  <si>
    <t>61.73</t>
  </si>
  <si>
    <t>59.59</t>
  </si>
  <si>
    <t>bih</t>
  </si>
  <si>
    <t>Bosnia and Herzegovina</t>
  </si>
  <si>
    <t>49.63</t>
  </si>
  <si>
    <t>58.87</t>
  </si>
  <si>
    <t>60.16</t>
  </si>
  <si>
    <t>55.16</t>
  </si>
  <si>
    <t>57.49</t>
  </si>
  <si>
    <t>58.72</t>
  </si>
  <si>
    <t>60.09</t>
  </si>
  <si>
    <t>blr</t>
  </si>
  <si>
    <t>Belarus</t>
  </si>
  <si>
    <t>54.63</t>
  </si>
  <si>
    <t>55.64</t>
  </si>
  <si>
    <t>58.12</t>
  </si>
  <si>
    <t>51.78</t>
  </si>
  <si>
    <t>58.21</t>
  </si>
  <si>
    <t>blz</t>
  </si>
  <si>
    <t>Belize</t>
  </si>
  <si>
    <t>64.51</t>
  </si>
  <si>
    <t>bol</t>
  </si>
  <si>
    <t>Bolivia</t>
  </si>
  <si>
    <t>58.65</t>
  </si>
  <si>
    <t>56.74</t>
  </si>
  <si>
    <t>55.59</t>
  </si>
  <si>
    <t>55.69</t>
  </si>
  <si>
    <t>59.29</t>
  </si>
  <si>
    <t>58.6</t>
  </si>
  <si>
    <t>bra</t>
  </si>
  <si>
    <t>Brazil</t>
  </si>
  <si>
    <t>70.38</t>
  </si>
  <si>
    <t>63.33</t>
  </si>
  <si>
    <t>61.1</t>
  </si>
  <si>
    <t>60.1</t>
  </si>
  <si>
    <t>62.57</t>
  </si>
  <si>
    <t>65.53</t>
  </si>
  <si>
    <t>btn</t>
  </si>
  <si>
    <t>Bhutan</t>
  </si>
  <si>
    <t>bwa</t>
  </si>
  <si>
    <t>Botswana</t>
  </si>
  <si>
    <t>34.71</t>
  </si>
  <si>
    <t>34.35</t>
  </si>
  <si>
    <t>33.32</t>
  </si>
  <si>
    <t>caf</t>
  </si>
  <si>
    <t>Central African Republic</t>
  </si>
  <si>
    <t>can</t>
  </si>
  <si>
    <t>Canada</t>
  </si>
  <si>
    <t>71.09</t>
  </si>
  <si>
    <t>69.39</t>
  </si>
  <si>
    <t>69.18</t>
  </si>
  <si>
    <t>68.41</t>
  </si>
  <si>
    <t>che</t>
  </si>
  <si>
    <t>Switzerland</t>
  </si>
  <si>
    <t>76.94</t>
  </si>
  <si>
    <t>75.08</t>
  </si>
  <si>
    <t>73.28</t>
  </si>
  <si>
    <t>68.84</t>
  </si>
  <si>
    <t>69.69</t>
  </si>
  <si>
    <t>chl</t>
  </si>
  <si>
    <t>Chile</t>
  </si>
  <si>
    <t>64.36</t>
  </si>
  <si>
    <t>59.42</t>
  </si>
  <si>
    <t>61.51</t>
  </si>
  <si>
    <t>64.15</t>
  </si>
  <si>
    <t>62.3</t>
  </si>
  <si>
    <t>chn</t>
  </si>
  <si>
    <t>China</t>
  </si>
  <si>
    <t>52.41</t>
  </si>
  <si>
    <t>51.44</t>
  </si>
  <si>
    <t>57.71</t>
  </si>
  <si>
    <t>58.63</t>
  </si>
  <si>
    <t>61.45</t>
  </si>
  <si>
    <t>civ</t>
  </si>
  <si>
    <t>Cote d'Ivoire</t>
  </si>
  <si>
    <t>41.97</t>
  </si>
  <si>
    <t>53.92</t>
  </si>
  <si>
    <t>52.57</t>
  </si>
  <si>
    <t>50.56</t>
  </si>
  <si>
    <t>48.49</t>
  </si>
  <si>
    <t>53.37</t>
  </si>
  <si>
    <t>cmr</t>
  </si>
  <si>
    <t>Cameroon</t>
  </si>
  <si>
    <t>42.92</t>
  </si>
  <si>
    <t>44.34</t>
  </si>
  <si>
    <t>49.37</t>
  </si>
  <si>
    <t>47.12</t>
  </si>
  <si>
    <t>49.46</t>
  </si>
  <si>
    <t>cod</t>
  </si>
  <si>
    <t>Congo, Dem. Rep.</t>
  </si>
  <si>
    <t>32.07</t>
  </si>
  <si>
    <t>33.83</t>
  </si>
  <si>
    <t>cog</t>
  </si>
  <si>
    <t>Congo, Rep.</t>
  </si>
  <si>
    <t>46.91</t>
  </si>
  <si>
    <t>52.13</t>
  </si>
  <si>
    <t>50.79</t>
  </si>
  <si>
    <t>49.21</t>
  </si>
  <si>
    <t>58.05</t>
  </si>
  <si>
    <t>49.54</t>
  </si>
  <si>
    <t>col</t>
  </si>
  <si>
    <t>Colombia</t>
  </si>
  <si>
    <t>61.38</t>
  </si>
  <si>
    <t>61.68</t>
  </si>
  <si>
    <t>62.72</t>
  </si>
  <si>
    <t>64.08</t>
  </si>
  <si>
    <t>61.57</t>
  </si>
  <si>
    <t>63.5</t>
  </si>
  <si>
    <t>57.09</t>
  </si>
  <si>
    <t>52.9</t>
  </si>
  <si>
    <t>58.92</t>
  </si>
  <si>
    <t>59.04</t>
  </si>
  <si>
    <t>com</t>
  </si>
  <si>
    <t>Comoros</t>
  </si>
  <si>
    <t>46.09</t>
  </si>
  <si>
    <t>35.45</t>
  </si>
  <si>
    <t>35.88</t>
  </si>
  <si>
    <t>cri</t>
  </si>
  <si>
    <t>Costa Rica</t>
  </si>
  <si>
    <t>69.98</t>
  </si>
  <si>
    <t>63.38</t>
  </si>
  <si>
    <t>70.77</t>
  </si>
  <si>
    <t>73.84</t>
  </si>
  <si>
    <t>cub</t>
  </si>
  <si>
    <t>Cuba</t>
  </si>
  <si>
    <t>cyp</t>
  </si>
  <si>
    <t>Cyprus</t>
  </si>
  <si>
    <t>61.37</t>
  </si>
  <si>
    <t>62.6</t>
  </si>
  <si>
    <t>62.69</t>
  </si>
  <si>
    <t>60.71</t>
  </si>
  <si>
    <t>cze</t>
  </si>
  <si>
    <t>Czech Republic</t>
  </si>
  <si>
    <t>62.5</t>
  </si>
  <si>
    <t>66.08</t>
  </si>
  <si>
    <t>68.97</t>
  </si>
  <si>
    <t>69.42</t>
  </si>
  <si>
    <t>66.95</t>
  </si>
  <si>
    <t>68.27</t>
  </si>
  <si>
    <t>deu</t>
  </si>
  <si>
    <t>Germany</t>
  </si>
  <si>
    <t>73.12</t>
  </si>
  <si>
    <t>67.55</t>
  </si>
  <si>
    <t>67.92</t>
  </si>
  <si>
    <t>dji</t>
  </si>
  <si>
    <t>Djibouti</t>
  </si>
  <si>
    <t>50.06</t>
  </si>
  <si>
    <t>dnk</t>
  </si>
  <si>
    <t>Denmark</t>
  </si>
  <si>
    <t>76.93</t>
  </si>
  <si>
    <t>75.15</t>
  </si>
  <si>
    <t>76.99</t>
  </si>
  <si>
    <t>75.45</t>
  </si>
  <si>
    <t>75.04</t>
  </si>
  <si>
    <t>dom</t>
  </si>
  <si>
    <t>Dominican Republic</t>
  </si>
  <si>
    <t>50.81</t>
  </si>
  <si>
    <t>54.33</t>
  </si>
  <si>
    <t>60.04</t>
  </si>
  <si>
    <t>60.31</t>
  </si>
  <si>
    <t>55.18</t>
  </si>
  <si>
    <t>59.21</t>
  </si>
  <si>
    <t>dza</t>
  </si>
  <si>
    <t>Algeria</t>
  </si>
  <si>
    <t>54.64</t>
  </si>
  <si>
    <t>53.17</t>
  </si>
  <si>
    <t>47.45</t>
  </si>
  <si>
    <t>54.38</t>
  </si>
  <si>
    <t>52.17</t>
  </si>
  <si>
    <t>55.38</t>
  </si>
  <si>
    <t>ecu</t>
  </si>
  <si>
    <t>Ecuador</t>
  </si>
  <si>
    <t>60.22</t>
  </si>
  <si>
    <t>59.64</t>
  </si>
  <si>
    <t>58.09</t>
  </si>
  <si>
    <t>53.54</t>
  </si>
  <si>
    <t>54.35</t>
  </si>
  <si>
    <t>58.52</t>
  </si>
  <si>
    <t>egy</t>
  </si>
  <si>
    <t>Egypt</t>
  </si>
  <si>
    <t>43.28</t>
  </si>
  <si>
    <t>44.72</t>
  </si>
  <si>
    <t>40.26</t>
  </si>
  <si>
    <t>40.24</t>
  </si>
  <si>
    <t>38.81</t>
  </si>
  <si>
    <t>esp</t>
  </si>
  <si>
    <t>Spain</t>
  </si>
  <si>
    <t>61.5</t>
  </si>
  <si>
    <t>64.56</t>
  </si>
  <si>
    <t>64.57</t>
  </si>
  <si>
    <t>65.02</t>
  </si>
  <si>
    <t>64.7</t>
  </si>
  <si>
    <t>63.37</t>
  </si>
  <si>
    <t>est</t>
  </si>
  <si>
    <t>Estonia</t>
  </si>
  <si>
    <t>60.91</t>
  </si>
  <si>
    <t>60.35</t>
  </si>
  <si>
    <t>64.53</t>
  </si>
  <si>
    <t>65.54</t>
  </si>
  <si>
    <t>63.57</t>
  </si>
  <si>
    <t>64.3</t>
  </si>
  <si>
    <t>eth</t>
  </si>
  <si>
    <t>Ethiopia</t>
  </si>
  <si>
    <t>42.98</t>
  </si>
  <si>
    <t>41</t>
  </si>
  <si>
    <t>45.49</t>
  </si>
  <si>
    <t>36.28</t>
  </si>
  <si>
    <t>40.93</t>
  </si>
  <si>
    <t>fin</t>
  </si>
  <si>
    <t>Finland</t>
  </si>
  <si>
    <t>77.8</t>
  </si>
  <si>
    <t>78.89</t>
  </si>
  <si>
    <t>77.94</t>
  </si>
  <si>
    <t>77.29</t>
  </si>
  <si>
    <t>fra</t>
  </si>
  <si>
    <t>France</t>
  </si>
  <si>
    <t>67.98</t>
  </si>
  <si>
    <t>69.59</t>
  </si>
  <si>
    <t>64.67</t>
  </si>
  <si>
    <t>66.66</t>
  </si>
  <si>
    <t>67.14</t>
  </si>
  <si>
    <t>66.56</t>
  </si>
  <si>
    <t>66.14</t>
  </si>
  <si>
    <t>65.57</t>
  </si>
  <si>
    <t>gab</t>
  </si>
  <si>
    <t>Gabon</t>
  </si>
  <si>
    <t>49.14</t>
  </si>
  <si>
    <t>48.87</t>
  </si>
  <si>
    <t>50.75</t>
  </si>
  <si>
    <t>51.4</t>
  </si>
  <si>
    <t>51.04</t>
  </si>
  <si>
    <t>gbr</t>
  </si>
  <si>
    <t>UK</t>
  </si>
  <si>
    <t>67.58</t>
  </si>
  <si>
    <t>71.57</t>
  </si>
  <si>
    <t>68.67</t>
  </si>
  <si>
    <t>67.22</t>
  </si>
  <si>
    <t>66.58</t>
  </si>
  <si>
    <t>Georgia</t>
  </si>
  <si>
    <t>44.48</t>
  </si>
  <si>
    <t>44.51</t>
  </si>
  <si>
    <t>48.92</t>
  </si>
  <si>
    <t>51.23</t>
  </si>
  <si>
    <t>52.93</t>
  </si>
  <si>
    <t>53.51</t>
  </si>
  <si>
    <t>gha</t>
  </si>
  <si>
    <t>Ghana</t>
  </si>
  <si>
    <t>50.57</t>
  </si>
  <si>
    <t>49.67</t>
  </si>
  <si>
    <t>53.19</t>
  </si>
  <si>
    <t>43.78</t>
  </si>
  <si>
    <t>41.91</t>
  </si>
  <si>
    <t>gin</t>
  </si>
  <si>
    <t>Guinea</t>
  </si>
  <si>
    <t>47.68</t>
  </si>
  <si>
    <t>49.72</t>
  </si>
  <si>
    <t>49.45</t>
  </si>
  <si>
    <t>48.27</t>
  </si>
  <si>
    <t>gmb</t>
  </si>
  <si>
    <t>Gambia</t>
  </si>
  <si>
    <t>51.64</t>
  </si>
  <si>
    <t>42.79</t>
  </si>
  <si>
    <t>grc</t>
  </si>
  <si>
    <t>Greece</t>
  </si>
  <si>
    <t>60.06</t>
  </si>
  <si>
    <t>59.52</t>
  </si>
  <si>
    <t>57.88</t>
  </si>
  <si>
    <t>61.04</t>
  </si>
  <si>
    <t>59</t>
  </si>
  <si>
    <t>57.96</t>
  </si>
  <si>
    <t>gtm</t>
  </si>
  <si>
    <t>Guatemala</t>
  </si>
  <si>
    <t>63.25</t>
  </si>
  <si>
    <t>62.62</t>
  </si>
  <si>
    <t>64.21</t>
  </si>
  <si>
    <t>guy</t>
  </si>
  <si>
    <t>Guyana</t>
  </si>
  <si>
    <t>hnd</t>
  </si>
  <si>
    <t>Honduras</t>
  </si>
  <si>
    <t>59.3</t>
  </si>
  <si>
    <t>61.14</t>
  </si>
  <si>
    <t>59.32</t>
  </si>
  <si>
    <t>58.61</t>
  </si>
  <si>
    <t>hrv</t>
  </si>
  <si>
    <t>Croatia</t>
  </si>
  <si>
    <t>58.85</t>
  </si>
  <si>
    <t>56.26</t>
  </si>
  <si>
    <t>65.08</t>
  </si>
  <si>
    <t>62.87</t>
  </si>
  <si>
    <t>55.79</t>
  </si>
  <si>
    <t>59.58</t>
  </si>
  <si>
    <t>hti</t>
  </si>
  <si>
    <t>Haiti</t>
  </si>
  <si>
    <t>46.22</t>
  </si>
  <si>
    <t>hun</t>
  </si>
  <si>
    <t>Hungary</t>
  </si>
  <si>
    <t>54.49</t>
  </si>
  <si>
    <t>59.36</t>
  </si>
  <si>
    <t>60</t>
  </si>
  <si>
    <t>60.38</t>
  </si>
  <si>
    <t>59.65</t>
  </si>
  <si>
    <t>idn</t>
  </si>
  <si>
    <t>Indonesia</t>
  </si>
  <si>
    <t>49.47</t>
  </si>
  <si>
    <t>53.47</t>
  </si>
  <si>
    <t>48.28</t>
  </si>
  <si>
    <t>55.85</t>
  </si>
  <si>
    <t>56.95</t>
  </si>
  <si>
    <t>ind</t>
  </si>
  <si>
    <t>India</t>
  </si>
  <si>
    <t>41.79</t>
  </si>
  <si>
    <t>32.49</t>
  </si>
  <si>
    <t>42.24</t>
  </si>
  <si>
    <t>35.58</t>
  </si>
  <si>
    <t>39.3</t>
  </si>
  <si>
    <t>46.76</t>
  </si>
  <si>
    <t>irl</t>
  </si>
  <si>
    <t>Ireland</t>
  </si>
  <si>
    <t>72.55</t>
  </si>
  <si>
    <t>68.28</t>
  </si>
  <si>
    <t>68.7</t>
  </si>
  <si>
    <t>68.17</t>
  </si>
  <si>
    <t>irn</t>
  </si>
  <si>
    <t>Iran</t>
  </si>
  <si>
    <t>47.88</t>
  </si>
  <si>
    <t>49.77</t>
  </si>
  <si>
    <t>irq</t>
  </si>
  <si>
    <t>Iraq</t>
  </si>
  <si>
    <t>50.94</t>
  </si>
  <si>
    <t>49.28</t>
  </si>
  <si>
    <t>54.75</t>
  </si>
  <si>
    <t>isl</t>
  </si>
  <si>
    <t>Iceland</t>
  </si>
  <si>
    <t>75.33</t>
  </si>
  <si>
    <t>75.75</t>
  </si>
  <si>
    <t>75.65</t>
  </si>
  <si>
    <t>74.49</t>
  </si>
  <si>
    <t>75.62</t>
  </si>
  <si>
    <t>isr</t>
  </si>
  <si>
    <t>Israel</t>
  </si>
  <si>
    <t>73.32</t>
  </si>
  <si>
    <t>75.78</t>
  </si>
  <si>
    <t>76.62</t>
  </si>
  <si>
    <t>67.83</t>
  </si>
  <si>
    <t>ita</t>
  </si>
  <si>
    <t>Italy</t>
  </si>
  <si>
    <t>64.45</t>
  </si>
  <si>
    <t>64.88</t>
  </si>
  <si>
    <t>62.58</t>
  </si>
  <si>
    <t>62.45</t>
  </si>
  <si>
    <t>jam</t>
  </si>
  <si>
    <t>Jamaica</t>
  </si>
  <si>
    <t>53.11</t>
  </si>
  <si>
    <t>63.09</t>
  </si>
  <si>
    <t>54.25</t>
  </si>
  <si>
    <t>58.14</t>
  </si>
  <si>
    <t>58.7</t>
  </si>
  <si>
    <t>jor</t>
  </si>
  <si>
    <t>Jordan</t>
  </si>
  <si>
    <t>62.95</t>
  </si>
  <si>
    <t>40.94</t>
  </si>
  <si>
    <t>39.09</t>
  </si>
  <si>
    <t>43.56</t>
  </si>
  <si>
    <t>jpn</t>
  </si>
  <si>
    <t>Japan</t>
  </si>
  <si>
    <t>61.18</t>
  </si>
  <si>
    <t>61.78</t>
  </si>
  <si>
    <t>59.1</t>
  </si>
  <si>
    <t>kaz</t>
  </si>
  <si>
    <t>Kazakhstan</t>
  </si>
  <si>
    <t>57.59</t>
  </si>
  <si>
    <t>59.7</t>
  </si>
  <si>
    <t>59.5</t>
  </si>
  <si>
    <t>62.99</t>
  </si>
  <si>
    <t>ken</t>
  </si>
  <si>
    <t>Kenya</t>
  </si>
  <si>
    <t>45.47</t>
  </si>
  <si>
    <t>43.96</t>
  </si>
  <si>
    <t>46.19</t>
  </si>
  <si>
    <t>44.65</t>
  </si>
  <si>
    <t>44.96</t>
  </si>
  <si>
    <t>kgz</t>
  </si>
  <si>
    <t>Kyrgyz Republic</t>
  </si>
  <si>
    <t>46.41</t>
  </si>
  <si>
    <t>56.85</t>
  </si>
  <si>
    <t>56.68</t>
  </si>
  <si>
    <t>khm</t>
  </si>
  <si>
    <t>Cambodia</t>
  </si>
  <si>
    <t>49.98</t>
  </si>
  <si>
    <t>43.77</t>
  </si>
  <si>
    <t>45.55</t>
  </si>
  <si>
    <t>42.5</t>
  </si>
  <si>
    <t>42.21</t>
  </si>
  <si>
    <t>kor</t>
  </si>
  <si>
    <t>South Korea</t>
  </si>
  <si>
    <t>58.01</t>
  </si>
  <si>
    <t>59.03</t>
  </si>
  <si>
    <t>61.13</t>
  </si>
  <si>
    <t>61.12</t>
  </si>
  <si>
    <t>kwt</t>
  </si>
  <si>
    <t>Kuwait</t>
  </si>
  <si>
    <t>63.78</t>
  </si>
  <si>
    <t>61.06</t>
  </si>
  <si>
    <t>71.3</t>
  </si>
  <si>
    <t>lao</t>
  </si>
  <si>
    <t>Lao</t>
  </si>
  <si>
    <t>50.76</t>
  </si>
  <si>
    <t>51.97</t>
  </si>
  <si>
    <t>52.84</t>
  </si>
  <si>
    <t>49.62</t>
  </si>
  <si>
    <t>54.86</t>
  </si>
  <si>
    <t>lbn</t>
  </si>
  <si>
    <t>Lebanon</t>
  </si>
  <si>
    <t>51.67</t>
  </si>
  <si>
    <t>26.34</t>
  </si>
  <si>
    <t>21.79</t>
  </si>
  <si>
    <t>23.52</t>
  </si>
  <si>
    <t>lbr</t>
  </si>
  <si>
    <t>Liberia</t>
  </si>
  <si>
    <t>51.21</t>
  </si>
  <si>
    <t>40.42</t>
  </si>
  <si>
    <t>44.94</t>
  </si>
  <si>
    <t>lby</t>
  </si>
  <si>
    <t>Libya</t>
  </si>
  <si>
    <t>53.3</t>
  </si>
  <si>
    <t>57.6</t>
  </si>
  <si>
    <t>lka</t>
  </si>
  <si>
    <t>Sri Lanka</t>
  </si>
  <si>
    <t>44.31</t>
  </si>
  <si>
    <t>42.25</t>
  </si>
  <si>
    <t>43.65</t>
  </si>
  <si>
    <t>42.13</t>
  </si>
  <si>
    <t>47.78</t>
  </si>
  <si>
    <t>41.03</t>
  </si>
  <si>
    <t>39.85</t>
  </si>
  <si>
    <t>36.02</t>
  </si>
  <si>
    <t>lso</t>
  </si>
  <si>
    <t>Lesotho</t>
  </si>
  <si>
    <t>35.12</t>
  </si>
  <si>
    <t>31.86</t>
  </si>
  <si>
    <t>ltu</t>
  </si>
  <si>
    <t>Lithuania</t>
  </si>
  <si>
    <t>59.54</t>
  </si>
  <si>
    <t>54.67</t>
  </si>
  <si>
    <t>60.64</t>
  </si>
  <si>
    <t>63.91</t>
  </si>
  <si>
    <t>68.65</t>
  </si>
  <si>
    <t>lux</t>
  </si>
  <si>
    <t>Luxembourg</t>
  </si>
  <si>
    <t>74.04</t>
  </si>
  <si>
    <t>72.28</t>
  </si>
  <si>
    <t>70.16</t>
  </si>
  <si>
    <t>lva</t>
  </si>
  <si>
    <t>Latvia</t>
  </si>
  <si>
    <t>59.78</t>
  </si>
  <si>
    <t>62.29</t>
  </si>
  <si>
    <t>63.53</t>
  </si>
  <si>
    <t>60.55</t>
  </si>
  <si>
    <t>62.96</t>
  </si>
  <si>
    <t>mar</t>
  </si>
  <si>
    <t>Morocco</t>
  </si>
  <si>
    <t>53.86</t>
  </si>
  <si>
    <t>48.03</t>
  </si>
  <si>
    <t>53.26</t>
  </si>
  <si>
    <t>45.96</t>
  </si>
  <si>
    <t>44.87</t>
  </si>
  <si>
    <t>mda</t>
  </si>
  <si>
    <t>Moldova</t>
  </si>
  <si>
    <t>55.03</t>
  </si>
  <si>
    <t>58.03</t>
  </si>
  <si>
    <t>56.87</t>
  </si>
  <si>
    <t>mdg</t>
  </si>
  <si>
    <t>Madagascar</t>
  </si>
  <si>
    <t>43.39</t>
  </si>
  <si>
    <t>40.19</t>
  </si>
  <si>
    <t>44.33</t>
  </si>
  <si>
    <t>mdv</t>
  </si>
  <si>
    <t>Maldives</t>
  </si>
  <si>
    <t>mex</t>
  </si>
  <si>
    <t>Mexico</t>
  </si>
  <si>
    <t>64.32</t>
  </si>
  <si>
    <t>59.91</t>
  </si>
  <si>
    <t>70.06</t>
  </si>
  <si>
    <t>mkd</t>
  </si>
  <si>
    <t>North Macedonia</t>
  </si>
  <si>
    <t>50.15</t>
  </si>
  <si>
    <t>50.54</t>
  </si>
  <si>
    <t>55.35</t>
  </si>
  <si>
    <t>54.03</t>
  </si>
  <si>
    <t>mli</t>
  </si>
  <si>
    <t>Mali</t>
  </si>
  <si>
    <t>49.88</t>
  </si>
  <si>
    <t>42.69</t>
  </si>
  <si>
    <t>41.13</t>
  </si>
  <si>
    <t>42.11</t>
  </si>
  <si>
    <t>43.7</t>
  </si>
  <si>
    <t>mlt</t>
  </si>
  <si>
    <t>Malta</t>
  </si>
  <si>
    <t>64.44</t>
  </si>
  <si>
    <t>mmr</t>
  </si>
  <si>
    <t>Myanmar</t>
  </si>
  <si>
    <t>43.14</t>
  </si>
  <si>
    <t>43.59</t>
  </si>
  <si>
    <t>43.91</t>
  </si>
  <si>
    <t>mne</t>
  </si>
  <si>
    <t>Montenegro</t>
  </si>
  <si>
    <t>57.22</t>
  </si>
  <si>
    <t>56</t>
  </si>
  <si>
    <t>58.13</t>
  </si>
  <si>
    <t>mng</t>
  </si>
  <si>
    <t>Mongolia</t>
  </si>
  <si>
    <t>55.63</t>
  </si>
  <si>
    <t>60.11</t>
  </si>
  <si>
    <t>57.21</t>
  </si>
  <si>
    <t>55.8</t>
  </si>
  <si>
    <t>moz</t>
  </si>
  <si>
    <t>Mozambique</t>
  </si>
  <si>
    <t>49.32</t>
  </si>
  <si>
    <t>47.4</t>
  </si>
  <si>
    <t>57.04</t>
  </si>
  <si>
    <t>mrt</t>
  </si>
  <si>
    <t>Mauritania</t>
  </si>
  <si>
    <t>44.83</t>
  </si>
  <si>
    <t>41.53</t>
  </si>
  <si>
    <t>mus</t>
  </si>
  <si>
    <t>Mauritius</t>
  </si>
  <si>
    <t>62.41</t>
  </si>
  <si>
    <t>60.15</t>
  </si>
  <si>
    <t>59.49</t>
  </si>
  <si>
    <t>57.41</t>
  </si>
  <si>
    <t>mwi</t>
  </si>
  <si>
    <t>Malawi</t>
  </si>
  <si>
    <t>38.69</t>
  </si>
  <si>
    <t>36.35</t>
  </si>
  <si>
    <t>33.56</t>
  </si>
  <si>
    <t>32.72</t>
  </si>
  <si>
    <t>mys</t>
  </si>
  <si>
    <t>Malaysia</t>
  </si>
  <si>
    <t>54.28</t>
  </si>
  <si>
    <t>60.14</t>
  </si>
  <si>
    <t>60.48</t>
  </si>
  <si>
    <t>58.68</t>
  </si>
  <si>
    <t>nam</t>
  </si>
  <si>
    <t>Namibia</t>
  </si>
  <si>
    <t>44.36</t>
  </si>
  <si>
    <t>44.91</t>
  </si>
  <si>
    <t>49.49</t>
  </si>
  <si>
    <t>50.55</t>
  </si>
  <si>
    <t>ner</t>
  </si>
  <si>
    <t>Niger</t>
  </si>
  <si>
    <t>45.01</t>
  </si>
  <si>
    <t>nga</t>
  </si>
  <si>
    <t>Nigeria</t>
  </si>
  <si>
    <t>42.66</t>
  </si>
  <si>
    <t>44.79</t>
  </si>
  <si>
    <t>52.94</t>
  </si>
  <si>
    <t>48.69</t>
  </si>
  <si>
    <t>nic</t>
  </si>
  <si>
    <t>Nicaragua</t>
  </si>
  <si>
    <t>54.48</t>
  </si>
  <si>
    <t>60.95</t>
  </si>
  <si>
    <t>63.92</t>
  </si>
  <si>
    <t>63.62</t>
  </si>
  <si>
    <t>nld</t>
  </si>
  <si>
    <t>Netherlands</t>
  </si>
  <si>
    <t>74.25</t>
  </si>
  <si>
    <t>73.14</t>
  </si>
  <si>
    <t>73.9</t>
  </si>
  <si>
    <t>nor</t>
  </si>
  <si>
    <t>Norway</t>
  </si>
  <si>
    <t>74.42</t>
  </si>
  <si>
    <t>72.9</t>
  </si>
  <si>
    <t>73.62</t>
  </si>
  <si>
    <t>72.95</t>
  </si>
  <si>
    <t>72.49</t>
  </si>
  <si>
    <t>npl</t>
  </si>
  <si>
    <t>Nepal</t>
  </si>
  <si>
    <t>59.82</t>
  </si>
  <si>
    <t>54.74</t>
  </si>
  <si>
    <t>53.89</t>
  </si>
  <si>
    <t>nzl</t>
  </si>
  <si>
    <t>New Zealand</t>
  </si>
  <si>
    <t>72.05</t>
  </si>
  <si>
    <t>69.75</t>
  </si>
  <si>
    <t>69.76</t>
  </si>
  <si>
    <t>omn</t>
  </si>
  <si>
    <t>Oman</t>
  </si>
  <si>
    <t>pak</t>
  </si>
  <si>
    <t>Pakistan</t>
  </si>
  <si>
    <t>44.43</t>
  </si>
  <si>
    <t>46.24</t>
  </si>
  <si>
    <t>49.31</t>
  </si>
  <si>
    <t>pan</t>
  </si>
  <si>
    <t>Panama</t>
  </si>
  <si>
    <t>59.79</t>
  </si>
  <si>
    <t>65.43</t>
  </si>
  <si>
    <t>per</t>
  </si>
  <si>
    <t>Peru</t>
  </si>
  <si>
    <t>59.99</t>
  </si>
  <si>
    <t>49.94</t>
  </si>
  <si>
    <t>56.94</t>
  </si>
  <si>
    <t>phl</t>
  </si>
  <si>
    <t>Philippines</t>
  </si>
  <si>
    <t>62.68</t>
  </si>
  <si>
    <t>50.8</t>
  </si>
  <si>
    <t>59.95</t>
  </si>
  <si>
    <t>61.84</t>
  </si>
  <si>
    <t>pol</t>
  </si>
  <si>
    <t>Poland</t>
  </si>
  <si>
    <t>62.42</t>
  </si>
  <si>
    <t>61.39</t>
  </si>
  <si>
    <t>66.85</t>
  </si>
  <si>
    <t>prt</t>
  </si>
  <si>
    <t>Portugal</t>
  </si>
  <si>
    <t>57.68</t>
  </si>
  <si>
    <t>61.83</t>
  </si>
  <si>
    <t>59.53</t>
  </si>
  <si>
    <t>pry</t>
  </si>
  <si>
    <t>Paraguay</t>
  </si>
  <si>
    <t>55.76</t>
  </si>
  <si>
    <t>56.53</t>
  </si>
  <si>
    <t>55.01</t>
  </si>
  <si>
    <t>62.14</t>
  </si>
  <si>
    <t>pse</t>
  </si>
  <si>
    <t>Palestine</t>
  </si>
  <si>
    <t>49.07</t>
  </si>
  <si>
    <t>49.08</t>
  </si>
  <si>
    <t>48.51</t>
  </si>
  <si>
    <t>qat</t>
  </si>
  <si>
    <t>Qatar</t>
  </si>
  <si>
    <t>rou</t>
  </si>
  <si>
    <t>Romania</t>
  </si>
  <si>
    <t>61.3</t>
  </si>
  <si>
    <t>67.85</t>
  </si>
  <si>
    <t>65.49</t>
  </si>
  <si>
    <t>64.37</t>
  </si>
  <si>
    <t>64.89</t>
  </si>
  <si>
    <t>rus</t>
  </si>
  <si>
    <t>Russia</t>
  </si>
  <si>
    <t>54.41</t>
  </si>
  <si>
    <t>54.95</t>
  </si>
  <si>
    <t>60.44</t>
  </si>
  <si>
    <t>rwa</t>
  </si>
  <si>
    <t>Rwanda</t>
  </si>
  <si>
    <t>32.68</t>
  </si>
  <si>
    <t>sau</t>
  </si>
  <si>
    <t>Saudi Arabia</t>
  </si>
  <si>
    <t>65.61</t>
  </si>
  <si>
    <t>65.6</t>
  </si>
  <si>
    <t>63.82</t>
  </si>
  <si>
    <t>69.53</t>
  </si>
  <si>
    <t>sdn</t>
  </si>
  <si>
    <t>Sudan</t>
  </si>
  <si>
    <t>sen</t>
  </si>
  <si>
    <t>Senegal</t>
  </si>
  <si>
    <t>54.89</t>
  </si>
  <si>
    <t>47.57</t>
  </si>
  <si>
    <t>49.03</t>
  </si>
  <si>
    <t>50.93</t>
  </si>
  <si>
    <t>sgp</t>
  </si>
  <si>
    <t>Singapore</t>
  </si>
  <si>
    <t>65.87</t>
  </si>
  <si>
    <t>66.54</t>
  </si>
  <si>
    <t>sle</t>
  </si>
  <si>
    <t>Sierra Leone</t>
  </si>
  <si>
    <t>34.47</t>
  </si>
  <si>
    <t>37.14</t>
  </si>
  <si>
    <t>25.6</t>
  </si>
  <si>
    <t>34.67</t>
  </si>
  <si>
    <t>slv</t>
  </si>
  <si>
    <t>El Salvador</t>
  </si>
  <si>
    <t>64.55</t>
  </si>
  <si>
    <t>54.62</t>
  </si>
  <si>
    <t>64.31</t>
  </si>
  <si>
    <t>64.92</t>
  </si>
  <si>
    <t>64.82</t>
  </si>
  <si>
    <t>som</t>
  </si>
  <si>
    <t>Somalia</t>
  </si>
  <si>
    <t>srb</t>
  </si>
  <si>
    <t>Serbia</t>
  </si>
  <si>
    <t>60.42</t>
  </si>
  <si>
    <t>65.46</t>
  </si>
  <si>
    <t>ssd</t>
  </si>
  <si>
    <t>South Sudan</t>
  </si>
  <si>
    <t>sur</t>
  </si>
  <si>
    <t>Suriname</t>
  </si>
  <si>
    <t>svk</t>
  </si>
  <si>
    <t>Slovak Republic</t>
  </si>
  <si>
    <t>62.43</t>
  </si>
  <si>
    <t>65.19</t>
  </si>
  <si>
    <t>64.19</t>
  </si>
  <si>
    <t>svn</t>
  </si>
  <si>
    <t>Slovenia</t>
  </si>
  <si>
    <t>66.65</t>
  </si>
  <si>
    <t>64.62</t>
  </si>
  <si>
    <t>67.61</t>
  </si>
  <si>
    <t>67.23</t>
  </si>
  <si>
    <t>67.46</t>
  </si>
  <si>
    <t>swe</t>
  </si>
  <si>
    <t>Sweden</t>
  </si>
  <si>
    <t>73.98</t>
  </si>
  <si>
    <t>74.39</t>
  </si>
  <si>
    <t>74.31</t>
  </si>
  <si>
    <t>71.61</t>
  </si>
  <si>
    <t>swz</t>
  </si>
  <si>
    <t>Eswatini</t>
  </si>
  <si>
    <t>35.02</t>
  </si>
  <si>
    <t>syr</t>
  </si>
  <si>
    <t>Syria</t>
  </si>
  <si>
    <t>tcd</t>
  </si>
  <si>
    <t>Chad</t>
  </si>
  <si>
    <t>42.51</t>
  </si>
  <si>
    <t>43.97</t>
  </si>
  <si>
    <t>45.44</t>
  </si>
  <si>
    <t>tgo</t>
  </si>
  <si>
    <t>Togo</t>
  </si>
  <si>
    <t>40.37</t>
  </si>
  <si>
    <t>42.39</t>
  </si>
  <si>
    <t>tha</t>
  </si>
  <si>
    <t>Thailand</t>
  </si>
  <si>
    <t>56.38</t>
  </si>
  <si>
    <t>62.82</t>
  </si>
  <si>
    <t>tjk</t>
  </si>
  <si>
    <t>Tajikistan</t>
  </si>
  <si>
    <t>53.73</t>
  </si>
  <si>
    <t>52.87</t>
  </si>
  <si>
    <t>51.76</t>
  </si>
  <si>
    <t>53.79</t>
  </si>
  <si>
    <t>tkm</t>
  </si>
  <si>
    <t>Turkmenistan</t>
  </si>
  <si>
    <t>tto</t>
  </si>
  <si>
    <t>Trinidad and Tobago</t>
  </si>
  <si>
    <t>tun</t>
  </si>
  <si>
    <t>Tunisia</t>
  </si>
  <si>
    <t>43.15</t>
  </si>
  <si>
    <t>47.31</t>
  </si>
  <si>
    <t>42.61</t>
  </si>
  <si>
    <t>45.05</t>
  </si>
  <si>
    <t>tur</t>
  </si>
  <si>
    <t>Turkey</t>
  </si>
  <si>
    <t>48.72</t>
  </si>
  <si>
    <t>48.62</t>
  </si>
  <si>
    <t>43.67</t>
  </si>
  <si>
    <t>tza</t>
  </si>
  <si>
    <t>Tanzania</t>
  </si>
  <si>
    <t>36.4</t>
  </si>
  <si>
    <t>37.86</t>
  </si>
  <si>
    <t>36.81</t>
  </si>
  <si>
    <t>36.16</t>
  </si>
  <si>
    <t>uga</t>
  </si>
  <si>
    <t>Uganda</t>
  </si>
  <si>
    <t>49.48</t>
  </si>
  <si>
    <t>44.25</t>
  </si>
  <si>
    <t>44.67</t>
  </si>
  <si>
    <t>ukr</t>
  </si>
  <si>
    <t>Ukraine</t>
  </si>
  <si>
    <t>47.02</t>
  </si>
  <si>
    <t>52.7</t>
  </si>
  <si>
    <t>46.37</t>
  </si>
  <si>
    <t>46.72</t>
  </si>
  <si>
    <t>ury</t>
  </si>
  <si>
    <t>Uruguay</t>
  </si>
  <si>
    <t>66</t>
  </si>
  <si>
    <t>63.1</t>
  </si>
  <si>
    <t>66.62</t>
  </si>
  <si>
    <t>usa</t>
  </si>
  <si>
    <t>USA</t>
  </si>
  <si>
    <t>70.28</t>
  </si>
  <si>
    <t>66.93</t>
  </si>
  <si>
    <t>65.21</t>
  </si>
  <si>
    <t>uzb</t>
  </si>
  <si>
    <t>Uzbekistan</t>
  </si>
  <si>
    <t>61.54</t>
  </si>
  <si>
    <t>58.42</t>
  </si>
  <si>
    <t>61.85</t>
  </si>
  <si>
    <t>63.85</t>
  </si>
  <si>
    <t>ven</t>
  </si>
  <si>
    <t>Venezuela</t>
  </si>
  <si>
    <t>57.65</t>
  </si>
  <si>
    <t>vnm</t>
  </si>
  <si>
    <t>Vietnam</t>
  </si>
  <si>
    <t>55.4</t>
  </si>
  <si>
    <t>62.67</t>
  </si>
  <si>
    <t>yem</t>
  </si>
  <si>
    <t>Yemen</t>
  </si>
  <si>
    <t>35.9</t>
  </si>
  <si>
    <t>35.32</t>
  </si>
  <si>
    <t>zaf</t>
  </si>
  <si>
    <t>South Africa</t>
  </si>
  <si>
    <t>50.35</t>
  </si>
  <si>
    <t>55.99</t>
  </si>
  <si>
    <t>55.81</t>
  </si>
  <si>
    <t>zmb</t>
  </si>
  <si>
    <t>Zambia</t>
  </si>
  <si>
    <t>33.07</t>
  </si>
  <si>
    <t>30.82</t>
  </si>
  <si>
    <t>37.28</t>
  </si>
  <si>
    <t>36.86</t>
  </si>
  <si>
    <t>zwe</t>
  </si>
  <si>
    <t>Zimbabwe</t>
  </si>
  <si>
    <t>31.6</t>
  </si>
  <si>
    <t>31.55</t>
  </si>
  <si>
    <t>32.96</t>
  </si>
  <si>
    <t>Страна</t>
  </si>
  <si>
    <t>Позиция в таблице</t>
  </si>
  <si>
    <t>Данные за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</si>
</sst>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left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workbookViewId="0">
      <selection activeCell="I1" sqref="I1:K1048576"/>
    </sheetView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923</v>
      </c>
      <c r="J1" t="s">
        <v>924</v>
      </c>
      <c r="K1" t="s">
        <v>925</v>
      </c>
    </row>
    <row r="2" spans="1:11" x14ac:dyDescent="0.25">
      <c r="A2" t="s">
        <v>7</v>
      </c>
      <c r="B2" t="s">
        <v>8</v>
      </c>
      <c r="C2" t="s">
        <v>11</v>
      </c>
      <c r="E2" t="s">
        <v>12</v>
      </c>
      <c r="F2" t="s">
        <v>13</v>
      </c>
      <c r="G2" t="s">
        <v>14</v>
      </c>
      <c r="I2" s="1" t="s">
        <v>519</v>
      </c>
      <c r="J2">
        <f>MATCH(I2,A$2:A$1048576,0)</f>
        <v>80</v>
      </c>
      <c r="K2" t="str">
        <f>INDEX(C$2:C$1048576,J2,1)</f>
        <v>61.06</v>
      </c>
    </row>
    <row r="3" spans="1:11" x14ac:dyDescent="0.25">
      <c r="A3" t="s">
        <v>15</v>
      </c>
      <c r="B3" t="s">
        <v>16</v>
      </c>
      <c r="I3" s="1" t="s">
        <v>458</v>
      </c>
      <c r="J3">
        <f t="shared" ref="J3:J66" si="0">MATCH(I3,A$2:A$1048576,0)</f>
        <v>70</v>
      </c>
      <c r="K3" t="str">
        <f t="shared" ref="K3:K66" si="1">INDEX(C$2:C$1048576,J3,1)</f>
        <v>73.32</v>
      </c>
    </row>
    <row r="4" spans="1:11" x14ac:dyDescent="0.25">
      <c r="A4" t="s">
        <v>17</v>
      </c>
      <c r="B4" t="s">
        <v>18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I4" s="1" t="s">
        <v>141</v>
      </c>
      <c r="J4">
        <f t="shared" si="0"/>
        <v>20</v>
      </c>
      <c r="K4" t="str">
        <f t="shared" si="1"/>
        <v>56.74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I5" s="1" t="s">
        <v>149</v>
      </c>
      <c r="J5">
        <f t="shared" si="0"/>
        <v>21</v>
      </c>
      <c r="K5" t="str">
        <f t="shared" si="1"/>
        <v>64.51</v>
      </c>
    </row>
    <row r="6" spans="1:11" x14ac:dyDescent="0.25">
      <c r="A6" t="s">
        <v>33</v>
      </c>
      <c r="B6" t="s">
        <v>34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I6" s="1" t="s">
        <v>700</v>
      </c>
      <c r="J6">
        <f t="shared" si="0"/>
        <v>113</v>
      </c>
      <c r="K6" t="str">
        <f t="shared" si="1"/>
        <v>72.05</v>
      </c>
    </row>
    <row r="7" spans="1:11" x14ac:dyDescent="0.25">
      <c r="A7" t="s">
        <v>43</v>
      </c>
      <c r="B7" t="s">
        <v>44</v>
      </c>
      <c r="C7" t="s">
        <v>46</v>
      </c>
      <c r="E7" t="s">
        <v>47</v>
      </c>
      <c r="F7" t="s">
        <v>48</v>
      </c>
      <c r="G7" t="s">
        <v>49</v>
      </c>
      <c r="I7" s="1" t="s">
        <v>477</v>
      </c>
      <c r="J7">
        <f t="shared" si="0"/>
        <v>73</v>
      </c>
      <c r="K7" t="str">
        <f t="shared" si="1"/>
        <v>44.53</v>
      </c>
    </row>
    <row r="8" spans="1:11" x14ac:dyDescent="0.25">
      <c r="A8" t="s">
        <v>50</v>
      </c>
      <c r="B8" t="s">
        <v>51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I8" s="1" t="s">
        <v>579</v>
      </c>
      <c r="J8">
        <f t="shared" si="0"/>
        <v>90</v>
      </c>
      <c r="K8" t="str">
        <f t="shared" si="1"/>
        <v>50.57</v>
      </c>
    </row>
    <row r="9" spans="1:11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I9" s="1" t="s">
        <v>656</v>
      </c>
      <c r="J9">
        <f t="shared" si="0"/>
        <v>105</v>
      </c>
      <c r="K9" t="str">
        <f t="shared" si="1"/>
        <v>54.28</v>
      </c>
    </row>
    <row r="10" spans="1:11" x14ac:dyDescent="0.25">
      <c r="A10" t="s">
        <v>65</v>
      </c>
      <c r="B10" t="s">
        <v>66</v>
      </c>
      <c r="C10" t="s">
        <v>70</v>
      </c>
      <c r="F10" t="s">
        <v>71</v>
      </c>
      <c r="G10" t="s">
        <v>72</v>
      </c>
      <c r="I10" s="1" t="s">
        <v>918</v>
      </c>
      <c r="J10">
        <f t="shared" si="0"/>
        <v>161</v>
      </c>
      <c r="K10" t="str">
        <f t="shared" si="1"/>
        <v>26.94</v>
      </c>
    </row>
    <row r="11" spans="1:11" x14ac:dyDescent="0.25">
      <c r="A11" t="s">
        <v>73</v>
      </c>
      <c r="B11" t="s">
        <v>74</v>
      </c>
      <c r="I11" s="1" t="s">
        <v>899</v>
      </c>
      <c r="J11">
        <f t="shared" si="0"/>
        <v>157</v>
      </c>
      <c r="K11" t="str">
        <f t="shared" si="1"/>
        <v>54.67</v>
      </c>
    </row>
    <row r="12" spans="1:1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I12" s="1" t="s">
        <v>838</v>
      </c>
      <c r="J12">
        <f t="shared" si="0"/>
        <v>144</v>
      </c>
      <c r="K12" t="str">
        <f t="shared" si="1"/>
        <v>60.22</v>
      </c>
    </row>
    <row r="13" spans="1:11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I13" s="1" t="s">
        <v>779</v>
      </c>
      <c r="J13">
        <f t="shared" si="0"/>
        <v>130</v>
      </c>
      <c r="K13" t="str">
        <f t="shared" si="1"/>
        <v>63.78</v>
      </c>
    </row>
    <row r="14" spans="1:11" x14ac:dyDescent="0.25">
      <c r="A14" t="s">
        <v>89</v>
      </c>
      <c r="B14" t="s">
        <v>90</v>
      </c>
      <c r="C14" t="s">
        <v>93</v>
      </c>
      <c r="D14" t="s">
        <v>19</v>
      </c>
      <c r="E14" t="s">
        <v>94</v>
      </c>
      <c r="G14" t="s">
        <v>95</v>
      </c>
      <c r="I14" s="1" t="s">
        <v>644</v>
      </c>
      <c r="J14">
        <f t="shared" si="0"/>
        <v>103</v>
      </c>
      <c r="K14" t="str">
        <f t="shared" si="1"/>
        <v>62.41</v>
      </c>
    </row>
    <row r="15" spans="1:11" x14ac:dyDescent="0.25">
      <c r="A15" t="s">
        <v>96</v>
      </c>
      <c r="B15" t="s">
        <v>97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I15" s="1" t="s">
        <v>890</v>
      </c>
      <c r="J15">
        <f t="shared" si="0"/>
        <v>155</v>
      </c>
      <c r="K15" t="str">
        <f t="shared" si="1"/>
        <v>61.54</v>
      </c>
    </row>
    <row r="16" spans="1:11" x14ac:dyDescent="0.25">
      <c r="A16" t="s">
        <v>105</v>
      </c>
      <c r="B16" t="s">
        <v>106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I16" s="1" t="s">
        <v>513</v>
      </c>
      <c r="J16">
        <f t="shared" si="0"/>
        <v>79</v>
      </c>
      <c r="K16" t="str">
        <f t="shared" si="1"/>
        <v>59.03</v>
      </c>
    </row>
    <row r="17" spans="1:11" x14ac:dyDescent="0.25">
      <c r="A17" t="s">
        <v>114</v>
      </c>
      <c r="B17" t="s">
        <v>115</v>
      </c>
      <c r="C17" t="s">
        <v>119</v>
      </c>
      <c r="D17" t="s">
        <v>120</v>
      </c>
      <c r="G17" t="s">
        <v>121</v>
      </c>
      <c r="I17" s="1" t="s">
        <v>783</v>
      </c>
      <c r="J17">
        <f t="shared" si="0"/>
        <v>131</v>
      </c>
      <c r="K17" t="str">
        <f t="shared" si="1"/>
        <v>34.47</v>
      </c>
    </row>
    <row r="18" spans="1:11" x14ac:dyDescent="0.25">
      <c r="A18" t="s">
        <v>122</v>
      </c>
      <c r="B18" t="s">
        <v>123</v>
      </c>
      <c r="C18" t="s">
        <v>126</v>
      </c>
      <c r="D18" t="s">
        <v>127</v>
      </c>
      <c r="E18" t="s">
        <v>128</v>
      </c>
      <c r="F18" t="s">
        <v>129</v>
      </c>
      <c r="G18" t="s">
        <v>130</v>
      </c>
      <c r="I18" s="1" t="s">
        <v>863</v>
      </c>
      <c r="J18">
        <f t="shared" si="0"/>
        <v>150</v>
      </c>
      <c r="K18" t="str">
        <f t="shared" si="1"/>
        <v>36.4</v>
      </c>
    </row>
    <row r="19" spans="1:11" x14ac:dyDescent="0.25">
      <c r="A19" t="s">
        <v>131</v>
      </c>
      <c r="B19" t="s">
        <v>132</v>
      </c>
      <c r="C19" t="s">
        <v>137</v>
      </c>
      <c r="I19" s="1" t="s">
        <v>186</v>
      </c>
      <c r="J19">
        <f t="shared" si="0"/>
        <v>28</v>
      </c>
      <c r="K19" t="str">
        <f t="shared" si="1"/>
        <v>51.44</v>
      </c>
    </row>
    <row r="20" spans="1:11" x14ac:dyDescent="0.25">
      <c r="A20" t="s">
        <v>138</v>
      </c>
      <c r="B20" t="s">
        <v>139</v>
      </c>
      <c r="I20" s="1" t="s">
        <v>762</v>
      </c>
      <c r="J20">
        <f t="shared" si="0"/>
        <v>126</v>
      </c>
      <c r="K20" t="str">
        <f t="shared" si="1"/>
        <v>32.68</v>
      </c>
    </row>
    <row r="21" spans="1:11" x14ac:dyDescent="0.25">
      <c r="A21" t="s">
        <v>141</v>
      </c>
      <c r="B21" t="s">
        <v>142</v>
      </c>
      <c r="C21" t="s">
        <v>144</v>
      </c>
      <c r="D21" t="s">
        <v>145</v>
      </c>
      <c r="E21" t="s">
        <v>146</v>
      </c>
      <c r="F21" t="s">
        <v>147</v>
      </c>
      <c r="G21" t="s">
        <v>148</v>
      </c>
      <c r="I21" s="1" t="s">
        <v>671</v>
      </c>
      <c r="J21">
        <f t="shared" si="0"/>
        <v>108</v>
      </c>
      <c r="K21" t="str">
        <f t="shared" si="1"/>
        <v>42.66</v>
      </c>
    </row>
    <row r="22" spans="1:11" x14ac:dyDescent="0.25">
      <c r="A22" t="s">
        <v>149</v>
      </c>
      <c r="B22" t="s">
        <v>150</v>
      </c>
      <c r="C22" t="s">
        <v>140</v>
      </c>
      <c r="D22" t="s">
        <v>153</v>
      </c>
      <c r="E22" t="s">
        <v>154</v>
      </c>
      <c r="F22" t="s">
        <v>155</v>
      </c>
      <c r="G22" t="s">
        <v>156</v>
      </c>
      <c r="I22" s="1" t="s">
        <v>372</v>
      </c>
      <c r="J22">
        <f t="shared" si="0"/>
        <v>55</v>
      </c>
      <c r="K22" t="str">
        <f t="shared" si="1"/>
        <v>47.68</v>
      </c>
    </row>
    <row r="23" spans="1:11" x14ac:dyDescent="0.25">
      <c r="A23" t="s">
        <v>157</v>
      </c>
      <c r="B23" t="s">
        <v>158</v>
      </c>
      <c r="I23" s="1" t="s">
        <v>591</v>
      </c>
      <c r="J23">
        <f t="shared" si="0"/>
        <v>92</v>
      </c>
      <c r="K23" t="str">
        <f t="shared" si="1"/>
        <v>43.39</v>
      </c>
    </row>
    <row r="24" spans="1:11" x14ac:dyDescent="0.25">
      <c r="A24" t="s">
        <v>159</v>
      </c>
      <c r="B24" t="s">
        <v>160</v>
      </c>
      <c r="C24" t="s">
        <v>161</v>
      </c>
      <c r="F24" t="s">
        <v>162</v>
      </c>
      <c r="G24" t="s">
        <v>163</v>
      </c>
      <c r="I24" s="1" t="s">
        <v>82</v>
      </c>
      <c r="J24">
        <f t="shared" si="0"/>
        <v>12</v>
      </c>
      <c r="K24" t="str">
        <f t="shared" si="1"/>
        <v>49.76</v>
      </c>
    </row>
    <row r="25" spans="1:11" x14ac:dyDescent="0.25">
      <c r="A25" t="s">
        <v>164</v>
      </c>
      <c r="B25" t="s">
        <v>165</v>
      </c>
      <c r="I25" s="1" t="s">
        <v>365</v>
      </c>
      <c r="J25">
        <f t="shared" si="0"/>
        <v>54</v>
      </c>
      <c r="K25" t="str">
        <f t="shared" si="1"/>
        <v>49.67</v>
      </c>
    </row>
    <row r="26" spans="1:11" x14ac:dyDescent="0.25">
      <c r="A26" t="s">
        <v>166</v>
      </c>
      <c r="B26" t="s">
        <v>167</v>
      </c>
      <c r="C26" t="s">
        <v>168</v>
      </c>
      <c r="D26" t="s">
        <v>57</v>
      </c>
      <c r="E26" t="s">
        <v>169</v>
      </c>
      <c r="F26" t="s">
        <v>170</v>
      </c>
      <c r="G26" t="s">
        <v>171</v>
      </c>
      <c r="I26" s="1" t="s">
        <v>912</v>
      </c>
      <c r="J26">
        <f t="shared" si="0"/>
        <v>160</v>
      </c>
      <c r="K26" t="str">
        <f t="shared" si="1"/>
        <v>33.07</v>
      </c>
    </row>
    <row r="27" spans="1:11" x14ac:dyDescent="0.25">
      <c r="A27" t="s">
        <v>172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I27" s="1" t="s">
        <v>824</v>
      </c>
      <c r="J27">
        <f t="shared" si="0"/>
        <v>140</v>
      </c>
      <c r="K27" t="str">
        <f t="shared" si="1"/>
        <v>43.96</v>
      </c>
    </row>
    <row r="28" spans="1:11" x14ac:dyDescent="0.25">
      <c r="A28" t="s">
        <v>179</v>
      </c>
      <c r="B28" t="s">
        <v>180</v>
      </c>
      <c r="C28" t="s">
        <v>182</v>
      </c>
      <c r="D28" t="s">
        <v>183</v>
      </c>
      <c r="E28" t="s">
        <v>181</v>
      </c>
      <c r="F28" t="s">
        <v>184</v>
      </c>
      <c r="G28" t="s">
        <v>185</v>
      </c>
      <c r="I28" s="1" t="s">
        <v>232</v>
      </c>
      <c r="J28">
        <f t="shared" si="0"/>
        <v>34</v>
      </c>
      <c r="K28" t="str">
        <f t="shared" si="1"/>
        <v>46.09</v>
      </c>
    </row>
    <row r="29" spans="1:11" x14ac:dyDescent="0.25">
      <c r="A29" t="s">
        <v>186</v>
      </c>
      <c r="B29" t="s">
        <v>187</v>
      </c>
      <c r="C29" t="s">
        <v>189</v>
      </c>
      <c r="D29" t="s">
        <v>190</v>
      </c>
      <c r="E29" t="s">
        <v>191</v>
      </c>
      <c r="G29" t="s">
        <v>192</v>
      </c>
      <c r="I29" s="1" t="s">
        <v>131</v>
      </c>
      <c r="J29">
        <f t="shared" si="0"/>
        <v>18</v>
      </c>
      <c r="K29" t="str">
        <f t="shared" si="1"/>
        <v>58.21</v>
      </c>
    </row>
    <row r="30" spans="1:11" x14ac:dyDescent="0.25">
      <c r="A30" t="s">
        <v>193</v>
      </c>
      <c r="B30" t="s">
        <v>194</v>
      </c>
      <c r="C30" t="s">
        <v>196</v>
      </c>
      <c r="D30" t="s">
        <v>197</v>
      </c>
      <c r="E30" t="s">
        <v>198</v>
      </c>
      <c r="F30" t="s">
        <v>199</v>
      </c>
      <c r="G30" t="s">
        <v>200</v>
      </c>
      <c r="I30" s="1" t="s">
        <v>33</v>
      </c>
      <c r="J30">
        <f t="shared" si="0"/>
        <v>5</v>
      </c>
      <c r="K30" t="str">
        <f t="shared" si="1"/>
        <v>60.86</v>
      </c>
    </row>
    <row r="31" spans="1:11" x14ac:dyDescent="0.25">
      <c r="A31" t="s">
        <v>201</v>
      </c>
      <c r="B31" t="s">
        <v>202</v>
      </c>
      <c r="C31" t="s">
        <v>205</v>
      </c>
      <c r="D31" t="s">
        <v>188</v>
      </c>
      <c r="E31" t="s">
        <v>124</v>
      </c>
      <c r="F31" t="s">
        <v>206</v>
      </c>
      <c r="G31" t="s">
        <v>207</v>
      </c>
      <c r="I31" s="1" t="s">
        <v>677</v>
      </c>
      <c r="J31">
        <f t="shared" si="0"/>
        <v>109</v>
      </c>
      <c r="K31" t="str">
        <f t="shared" si="1"/>
        <v>61.13</v>
      </c>
    </row>
    <row r="32" spans="1:11" x14ac:dyDescent="0.25">
      <c r="A32" t="s">
        <v>208</v>
      </c>
      <c r="B32" t="s">
        <v>209</v>
      </c>
      <c r="F32" t="s">
        <v>210</v>
      </c>
      <c r="G32" t="s">
        <v>211</v>
      </c>
      <c r="I32" s="1" t="s">
        <v>494</v>
      </c>
      <c r="J32">
        <f t="shared" si="0"/>
        <v>76</v>
      </c>
      <c r="K32" t="str">
        <f t="shared" si="1"/>
        <v>46.19</v>
      </c>
    </row>
    <row r="33" spans="1:11" x14ac:dyDescent="0.25">
      <c r="A33" t="s">
        <v>212</v>
      </c>
      <c r="B33" t="s">
        <v>213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I33" s="1" t="s">
        <v>556</v>
      </c>
      <c r="J33">
        <f t="shared" si="0"/>
        <v>86</v>
      </c>
      <c r="K33" t="str">
        <f t="shared" si="1"/>
        <v>35.12</v>
      </c>
    </row>
    <row r="34" spans="1:11" x14ac:dyDescent="0.25">
      <c r="A34" t="s">
        <v>220</v>
      </c>
      <c r="B34" t="s">
        <v>221</v>
      </c>
      <c r="C34" t="s">
        <v>227</v>
      </c>
      <c r="D34" t="s">
        <v>228</v>
      </c>
      <c r="E34" t="s">
        <v>229</v>
      </c>
      <c r="F34" t="s">
        <v>230</v>
      </c>
      <c r="G34" t="s">
        <v>231</v>
      </c>
      <c r="I34" s="1" t="s">
        <v>274</v>
      </c>
      <c r="J34">
        <f t="shared" si="0"/>
        <v>42</v>
      </c>
      <c r="K34" t="str">
        <f t="shared" si="1"/>
        <v>60.04</v>
      </c>
    </row>
    <row r="35" spans="1:11" x14ac:dyDescent="0.25">
      <c r="A35" t="s">
        <v>232</v>
      </c>
      <c r="B35" t="s">
        <v>233</v>
      </c>
      <c r="C35" t="s">
        <v>234</v>
      </c>
      <c r="F35" t="s">
        <v>235</v>
      </c>
      <c r="G35" t="s">
        <v>236</v>
      </c>
      <c r="I35" s="1" t="s">
        <v>598</v>
      </c>
      <c r="J35">
        <f t="shared" si="0"/>
        <v>94</v>
      </c>
      <c r="K35" t="str">
        <f t="shared" si="1"/>
        <v>64.32</v>
      </c>
    </row>
    <row r="36" spans="1:11" x14ac:dyDescent="0.25">
      <c r="A36" t="s">
        <v>237</v>
      </c>
      <c r="B36" t="s">
        <v>238</v>
      </c>
      <c r="C36" t="s">
        <v>239</v>
      </c>
      <c r="D36" t="s">
        <v>240</v>
      </c>
      <c r="E36" t="s">
        <v>225</v>
      </c>
      <c r="F36" t="s">
        <v>241</v>
      </c>
      <c r="G36" t="s">
        <v>242</v>
      </c>
      <c r="I36" s="1" t="s">
        <v>874</v>
      </c>
      <c r="J36">
        <f t="shared" si="0"/>
        <v>152</v>
      </c>
      <c r="K36" t="str">
        <f t="shared" si="1"/>
        <v>47.02</v>
      </c>
    </row>
    <row r="37" spans="1:11" x14ac:dyDescent="0.25">
      <c r="A37" t="s">
        <v>243</v>
      </c>
      <c r="B37" t="s">
        <v>244</v>
      </c>
      <c r="I37" s="1" t="s">
        <v>501</v>
      </c>
      <c r="J37">
        <f t="shared" si="0"/>
        <v>77</v>
      </c>
      <c r="K37" t="str">
        <f t="shared" si="1"/>
        <v>56.85</v>
      </c>
    </row>
    <row r="38" spans="1:11" x14ac:dyDescent="0.25">
      <c r="A38" t="s">
        <v>245</v>
      </c>
      <c r="B38" t="s">
        <v>246</v>
      </c>
      <c r="C38" t="s">
        <v>247</v>
      </c>
      <c r="D38" t="s">
        <v>248</v>
      </c>
      <c r="E38" t="s">
        <v>249</v>
      </c>
      <c r="F38" t="s">
        <v>143</v>
      </c>
      <c r="G38" t="s">
        <v>250</v>
      </c>
      <c r="I38" s="1" t="s">
        <v>421</v>
      </c>
      <c r="J38">
        <f t="shared" si="0"/>
        <v>64</v>
      </c>
      <c r="K38" t="str">
        <f t="shared" si="1"/>
        <v>53.47</v>
      </c>
    </row>
    <row r="39" spans="1:11" x14ac:dyDescent="0.25">
      <c r="A39" t="s">
        <v>251</v>
      </c>
      <c r="B39" t="s">
        <v>252</v>
      </c>
      <c r="D39" t="s">
        <v>255</v>
      </c>
      <c r="E39" t="s">
        <v>256</v>
      </c>
      <c r="F39" t="s">
        <v>257</v>
      </c>
      <c r="G39" t="s">
        <v>258</v>
      </c>
      <c r="I39" s="1" t="s">
        <v>750</v>
      </c>
      <c r="J39">
        <f t="shared" si="0"/>
        <v>124</v>
      </c>
      <c r="K39" t="str">
        <f t="shared" si="1"/>
        <v>61.3</v>
      </c>
    </row>
    <row r="40" spans="1:11" x14ac:dyDescent="0.25">
      <c r="A40" t="s">
        <v>259</v>
      </c>
      <c r="B40" t="s">
        <v>260</v>
      </c>
      <c r="C40" t="s">
        <v>56</v>
      </c>
      <c r="D40" t="s">
        <v>261</v>
      </c>
      <c r="E40" t="s">
        <v>262</v>
      </c>
      <c r="F40" t="s">
        <v>254</v>
      </c>
      <c r="G40" t="s">
        <v>263</v>
      </c>
      <c r="I40" s="1" t="s">
        <v>89</v>
      </c>
      <c r="J40">
        <f t="shared" si="0"/>
        <v>13</v>
      </c>
      <c r="K40" t="str">
        <f t="shared" si="1"/>
        <v>47.41</v>
      </c>
    </row>
    <row r="41" spans="1:11" x14ac:dyDescent="0.25">
      <c r="A41" t="s">
        <v>264</v>
      </c>
      <c r="B41" t="s">
        <v>265</v>
      </c>
      <c r="I41" s="1" t="s">
        <v>290</v>
      </c>
      <c r="J41">
        <f t="shared" si="0"/>
        <v>44</v>
      </c>
      <c r="K41" t="str">
        <f t="shared" si="1"/>
        <v>58.09</v>
      </c>
    </row>
    <row r="42" spans="1:11" x14ac:dyDescent="0.25">
      <c r="A42" t="s">
        <v>267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I42" s="1" t="s">
        <v>159</v>
      </c>
      <c r="J42">
        <f t="shared" si="0"/>
        <v>23</v>
      </c>
      <c r="K42" t="str">
        <f t="shared" si="1"/>
        <v>34.71</v>
      </c>
    </row>
    <row r="43" spans="1:11" x14ac:dyDescent="0.25">
      <c r="A43" t="s">
        <v>274</v>
      </c>
      <c r="B43" t="s">
        <v>275</v>
      </c>
      <c r="C43" t="s">
        <v>278</v>
      </c>
      <c r="D43" t="s">
        <v>69</v>
      </c>
      <c r="E43" t="s">
        <v>279</v>
      </c>
      <c r="F43" t="s">
        <v>280</v>
      </c>
      <c r="G43" t="s">
        <v>281</v>
      </c>
      <c r="I43" s="1" t="s">
        <v>378</v>
      </c>
      <c r="J43">
        <f t="shared" si="0"/>
        <v>56</v>
      </c>
      <c r="K43" t="str">
        <f t="shared" si="1"/>
        <v>51.64</v>
      </c>
    </row>
    <row r="44" spans="1:11" x14ac:dyDescent="0.25">
      <c r="A44" t="s">
        <v>282</v>
      </c>
      <c r="B44" t="s">
        <v>283</v>
      </c>
      <c r="C44" t="s">
        <v>286</v>
      </c>
      <c r="D44" t="s">
        <v>287</v>
      </c>
      <c r="E44" t="s">
        <v>288</v>
      </c>
      <c r="F44" t="s">
        <v>289</v>
      </c>
      <c r="I44" s="1" t="s">
        <v>586</v>
      </c>
      <c r="J44">
        <f t="shared" si="0"/>
        <v>91</v>
      </c>
      <c r="K44" t="str">
        <f t="shared" si="1"/>
        <v>58.03</v>
      </c>
    </row>
    <row r="45" spans="1:11" x14ac:dyDescent="0.25">
      <c r="A45" t="s">
        <v>290</v>
      </c>
      <c r="B45" t="s">
        <v>291</v>
      </c>
      <c r="C45" t="s">
        <v>294</v>
      </c>
      <c r="D45" t="s">
        <v>295</v>
      </c>
      <c r="E45" t="s">
        <v>296</v>
      </c>
      <c r="F45" t="s">
        <v>125</v>
      </c>
      <c r="G45" t="s">
        <v>297</v>
      </c>
      <c r="I45" s="1" t="s">
        <v>737</v>
      </c>
      <c r="J45">
        <f t="shared" si="0"/>
        <v>121</v>
      </c>
      <c r="K45" t="str">
        <f t="shared" si="1"/>
        <v>56.53</v>
      </c>
    </row>
    <row r="46" spans="1:11" x14ac:dyDescent="0.25">
      <c r="A46" t="s">
        <v>298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304</v>
      </c>
      <c r="I46" s="1" t="s">
        <v>43</v>
      </c>
      <c r="J46">
        <f t="shared" si="0"/>
        <v>6</v>
      </c>
      <c r="K46" t="str">
        <f t="shared" si="1"/>
        <v>54.88</v>
      </c>
    </row>
    <row r="47" spans="1:11" x14ac:dyDescent="0.25">
      <c r="A47" t="s">
        <v>305</v>
      </c>
      <c r="B47" t="s">
        <v>306</v>
      </c>
      <c r="C47" t="s">
        <v>309</v>
      </c>
      <c r="D47" t="s">
        <v>310</v>
      </c>
      <c r="E47" t="s">
        <v>311</v>
      </c>
      <c r="F47" t="s">
        <v>312</v>
      </c>
      <c r="G47" t="s">
        <v>308</v>
      </c>
      <c r="I47" s="1" t="s">
        <v>707</v>
      </c>
      <c r="J47">
        <f t="shared" si="0"/>
        <v>115</v>
      </c>
      <c r="K47" t="str">
        <f t="shared" si="1"/>
        <v>44.43</v>
      </c>
    </row>
    <row r="48" spans="1:11" x14ac:dyDescent="0.25">
      <c r="A48" t="s">
        <v>313</v>
      </c>
      <c r="B48" t="s">
        <v>314</v>
      </c>
      <c r="C48" t="s">
        <v>316</v>
      </c>
      <c r="D48" t="s">
        <v>317</v>
      </c>
      <c r="E48" t="s">
        <v>318</v>
      </c>
      <c r="F48" t="s">
        <v>319</v>
      </c>
      <c r="G48" t="s">
        <v>320</v>
      </c>
      <c r="I48" s="1" t="s">
        <v>237</v>
      </c>
      <c r="J48">
        <f t="shared" si="0"/>
        <v>35</v>
      </c>
      <c r="K48" t="str">
        <f t="shared" si="1"/>
        <v>69.98</v>
      </c>
    </row>
    <row r="49" spans="1:11" x14ac:dyDescent="0.25">
      <c r="A49" t="s">
        <v>321</v>
      </c>
      <c r="B49" t="s">
        <v>322</v>
      </c>
      <c r="C49" t="s">
        <v>324</v>
      </c>
      <c r="D49" t="s">
        <v>325</v>
      </c>
      <c r="F49" t="s">
        <v>326</v>
      </c>
      <c r="G49" t="s">
        <v>327</v>
      </c>
      <c r="I49" s="1" t="s">
        <v>96</v>
      </c>
      <c r="J49">
        <f t="shared" si="0"/>
        <v>14</v>
      </c>
      <c r="K49" t="str">
        <f t="shared" si="1"/>
        <v>51.14</v>
      </c>
    </row>
    <row r="50" spans="1:11" x14ac:dyDescent="0.25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 t="s">
        <v>333</v>
      </c>
      <c r="G50" t="s">
        <v>271</v>
      </c>
      <c r="I50" s="1" t="s">
        <v>220</v>
      </c>
      <c r="J50">
        <f t="shared" si="0"/>
        <v>33</v>
      </c>
      <c r="K50" t="str">
        <f t="shared" si="1"/>
        <v>63.5</v>
      </c>
    </row>
    <row r="51" spans="1:11" x14ac:dyDescent="0.25">
      <c r="A51" t="s">
        <v>334</v>
      </c>
      <c r="B51" t="s">
        <v>335</v>
      </c>
      <c r="C51" t="s">
        <v>116</v>
      </c>
      <c r="D51" t="s">
        <v>340</v>
      </c>
      <c r="E51" t="s">
        <v>341</v>
      </c>
      <c r="F51" t="s">
        <v>342</v>
      </c>
      <c r="G51" t="s">
        <v>343</v>
      </c>
      <c r="I51" s="1" t="s">
        <v>635</v>
      </c>
      <c r="J51">
        <f t="shared" si="0"/>
        <v>101</v>
      </c>
      <c r="K51" t="str">
        <f t="shared" si="1"/>
        <v>49.32</v>
      </c>
    </row>
    <row r="52" spans="1:11" x14ac:dyDescent="0.25">
      <c r="A52" t="s">
        <v>344</v>
      </c>
      <c r="B52" t="s">
        <v>345</v>
      </c>
      <c r="C52" t="s">
        <v>346</v>
      </c>
      <c r="D52" t="s">
        <v>347</v>
      </c>
      <c r="E52" t="s">
        <v>348</v>
      </c>
      <c r="F52" t="s">
        <v>349</v>
      </c>
      <c r="G52" t="s">
        <v>350</v>
      </c>
      <c r="I52" s="1" t="s">
        <v>880</v>
      </c>
      <c r="J52">
        <f t="shared" si="0"/>
        <v>153</v>
      </c>
      <c r="K52" t="str">
        <f t="shared" si="1"/>
        <v>66</v>
      </c>
    </row>
    <row r="53" spans="1:11" x14ac:dyDescent="0.25">
      <c r="A53" t="s">
        <v>351</v>
      </c>
      <c r="B53" t="s">
        <v>352</v>
      </c>
      <c r="C53" t="s">
        <v>354</v>
      </c>
      <c r="D53" t="s">
        <v>336</v>
      </c>
      <c r="E53" t="s">
        <v>355</v>
      </c>
      <c r="F53" t="s">
        <v>356</v>
      </c>
      <c r="G53" t="s">
        <v>357</v>
      </c>
      <c r="I53" s="1" t="s">
        <v>624</v>
      </c>
      <c r="J53">
        <f t="shared" si="0"/>
        <v>99</v>
      </c>
      <c r="K53" t="str">
        <f t="shared" si="1"/>
        <v>53.86</v>
      </c>
    </row>
    <row r="54" spans="1:11" x14ac:dyDescent="0.25">
      <c r="A54" t="s">
        <v>0</v>
      </c>
      <c r="B54" t="s">
        <v>358</v>
      </c>
      <c r="C54" t="s">
        <v>361</v>
      </c>
      <c r="D54" t="s">
        <v>362</v>
      </c>
      <c r="E54" t="s">
        <v>68</v>
      </c>
      <c r="F54" t="s">
        <v>363</v>
      </c>
      <c r="G54" t="s">
        <v>364</v>
      </c>
      <c r="I54" s="1" t="s">
        <v>0</v>
      </c>
      <c r="J54">
        <f t="shared" si="0"/>
        <v>53</v>
      </c>
      <c r="K54" t="str">
        <f t="shared" si="1"/>
        <v>48.92</v>
      </c>
    </row>
    <row r="55" spans="1:11" x14ac:dyDescent="0.25">
      <c r="A55" t="s">
        <v>365</v>
      </c>
      <c r="B55" t="s">
        <v>366</v>
      </c>
      <c r="C55" t="s">
        <v>368</v>
      </c>
      <c r="D55" t="s">
        <v>369</v>
      </c>
      <c r="E55" t="s">
        <v>370</v>
      </c>
      <c r="F55" t="s">
        <v>371</v>
      </c>
      <c r="G55" t="s">
        <v>323</v>
      </c>
      <c r="I55" s="1" t="s">
        <v>390</v>
      </c>
      <c r="J55">
        <f t="shared" si="0"/>
        <v>58</v>
      </c>
      <c r="K55" t="str">
        <f t="shared" si="1"/>
        <v>62.62</v>
      </c>
    </row>
    <row r="56" spans="1:11" x14ac:dyDescent="0.25">
      <c r="A56" t="s">
        <v>372</v>
      </c>
      <c r="B56" t="s">
        <v>373</v>
      </c>
      <c r="C56" t="s">
        <v>374</v>
      </c>
      <c r="D56" t="s">
        <v>375</v>
      </c>
      <c r="E56" t="s">
        <v>376</v>
      </c>
      <c r="F56" t="s">
        <v>285</v>
      </c>
      <c r="G56" t="s">
        <v>377</v>
      </c>
      <c r="I56" s="1" t="s">
        <v>603</v>
      </c>
      <c r="J56">
        <f t="shared" si="0"/>
        <v>95</v>
      </c>
      <c r="K56" t="str">
        <f t="shared" si="1"/>
        <v>50.15</v>
      </c>
    </row>
    <row r="57" spans="1:11" x14ac:dyDescent="0.25">
      <c r="A57" t="s">
        <v>378</v>
      </c>
      <c r="B57" t="s">
        <v>379</v>
      </c>
      <c r="C57" t="s">
        <v>380</v>
      </c>
      <c r="F57" t="s">
        <v>381</v>
      </c>
      <c r="G57" t="s">
        <v>214</v>
      </c>
      <c r="I57" s="1" t="s">
        <v>629</v>
      </c>
      <c r="J57">
        <f t="shared" si="0"/>
        <v>100</v>
      </c>
      <c r="K57" t="str">
        <f t="shared" si="1"/>
        <v>55.63</v>
      </c>
    </row>
    <row r="58" spans="1:11" x14ac:dyDescent="0.25">
      <c r="A58" t="s">
        <v>382</v>
      </c>
      <c r="B58" t="s">
        <v>383</v>
      </c>
      <c r="C58" t="s">
        <v>385</v>
      </c>
      <c r="D58" t="s">
        <v>386</v>
      </c>
      <c r="E58" t="s">
        <v>387</v>
      </c>
      <c r="F58" t="s">
        <v>388</v>
      </c>
      <c r="G58" t="s">
        <v>389</v>
      </c>
      <c r="I58" s="1" t="s">
        <v>858</v>
      </c>
      <c r="J58">
        <f t="shared" si="0"/>
        <v>149</v>
      </c>
      <c r="K58" t="str">
        <f t="shared" si="1"/>
        <v>48.72</v>
      </c>
    </row>
    <row r="59" spans="1:11" x14ac:dyDescent="0.25">
      <c r="A59" t="s">
        <v>390</v>
      </c>
      <c r="B59" t="s">
        <v>391</v>
      </c>
      <c r="C59" t="s">
        <v>393</v>
      </c>
      <c r="F59" t="s">
        <v>307</v>
      </c>
      <c r="G59" t="s">
        <v>394</v>
      </c>
      <c r="I59" s="1" t="s">
        <v>414</v>
      </c>
      <c r="J59">
        <f t="shared" si="0"/>
        <v>63</v>
      </c>
      <c r="K59" t="str">
        <f t="shared" si="1"/>
        <v>60</v>
      </c>
    </row>
    <row r="60" spans="1:11" x14ac:dyDescent="0.25">
      <c r="A60" t="s">
        <v>395</v>
      </c>
      <c r="B60" t="s">
        <v>396</v>
      </c>
      <c r="I60" s="1" t="s">
        <v>619</v>
      </c>
      <c r="J60">
        <f t="shared" si="0"/>
        <v>98</v>
      </c>
      <c r="K60" t="str">
        <f t="shared" si="1"/>
        <v>44.34</v>
      </c>
    </row>
    <row r="61" spans="1:11" x14ac:dyDescent="0.25">
      <c r="A61" t="s">
        <v>397</v>
      </c>
      <c r="B61" t="s">
        <v>398</v>
      </c>
      <c r="C61" t="s">
        <v>399</v>
      </c>
      <c r="E61" t="s">
        <v>400</v>
      </c>
      <c r="F61" t="s">
        <v>401</v>
      </c>
      <c r="G61" t="s">
        <v>402</v>
      </c>
      <c r="I61" s="1" t="s">
        <v>757</v>
      </c>
      <c r="J61">
        <f t="shared" si="0"/>
        <v>125</v>
      </c>
      <c r="K61" t="str">
        <f t="shared" si="1"/>
        <v>54.41</v>
      </c>
    </row>
    <row r="62" spans="1:11" x14ac:dyDescent="0.25">
      <c r="A62" t="s">
        <v>403</v>
      </c>
      <c r="B62" t="s">
        <v>404</v>
      </c>
      <c r="C62" t="s">
        <v>406</v>
      </c>
      <c r="D62" t="s">
        <v>407</v>
      </c>
      <c r="E62" t="s">
        <v>408</v>
      </c>
      <c r="F62" t="s">
        <v>409</v>
      </c>
      <c r="G62" t="s">
        <v>410</v>
      </c>
      <c r="I62" s="1" t="s">
        <v>662</v>
      </c>
      <c r="J62">
        <f t="shared" si="0"/>
        <v>106</v>
      </c>
      <c r="K62" t="str">
        <f t="shared" si="1"/>
        <v>44.36</v>
      </c>
    </row>
    <row r="63" spans="1:11" x14ac:dyDescent="0.25">
      <c r="A63" t="s">
        <v>411</v>
      </c>
      <c r="B63" t="s">
        <v>412</v>
      </c>
      <c r="I63" s="1" t="s">
        <v>470</v>
      </c>
      <c r="J63">
        <f t="shared" si="0"/>
        <v>72</v>
      </c>
      <c r="K63" t="str">
        <f t="shared" si="1"/>
        <v>63.09</v>
      </c>
    </row>
    <row r="64" spans="1:11" x14ac:dyDescent="0.25">
      <c r="A64" t="s">
        <v>414</v>
      </c>
      <c r="B64" t="s">
        <v>415</v>
      </c>
      <c r="C64" t="s">
        <v>418</v>
      </c>
      <c r="D64" t="s">
        <v>419</v>
      </c>
      <c r="E64" t="s">
        <v>118</v>
      </c>
      <c r="F64" t="s">
        <v>402</v>
      </c>
      <c r="G64" t="s">
        <v>420</v>
      </c>
      <c r="I64" s="1" t="s">
        <v>716</v>
      </c>
      <c r="J64">
        <f t="shared" si="0"/>
        <v>117</v>
      </c>
      <c r="K64" t="str">
        <f t="shared" si="1"/>
        <v>59.99</v>
      </c>
    </row>
    <row r="65" spans="1:11" x14ac:dyDescent="0.25">
      <c r="A65" t="s">
        <v>421</v>
      </c>
      <c r="B65" t="s">
        <v>422</v>
      </c>
      <c r="C65" t="s">
        <v>424</v>
      </c>
      <c r="D65" t="s">
        <v>425</v>
      </c>
      <c r="E65" t="s">
        <v>277</v>
      </c>
      <c r="F65" t="s">
        <v>426</v>
      </c>
      <c r="G65" t="s">
        <v>427</v>
      </c>
      <c r="I65" s="1" t="s">
        <v>907</v>
      </c>
      <c r="J65">
        <f t="shared" si="0"/>
        <v>159</v>
      </c>
      <c r="K65" t="str">
        <f t="shared" si="1"/>
        <v>50.35</v>
      </c>
    </row>
    <row r="66" spans="1:11" x14ac:dyDescent="0.25">
      <c r="A66" t="s">
        <v>428</v>
      </c>
      <c r="B66" t="s">
        <v>429</v>
      </c>
      <c r="C66" t="s">
        <v>431</v>
      </c>
      <c r="D66" t="s">
        <v>432</v>
      </c>
      <c r="E66" t="s">
        <v>433</v>
      </c>
      <c r="F66" t="s">
        <v>434</v>
      </c>
      <c r="G66" t="s">
        <v>435</v>
      </c>
      <c r="I66" s="1" t="s">
        <v>688</v>
      </c>
      <c r="J66">
        <f t="shared" si="0"/>
        <v>111</v>
      </c>
      <c r="K66" t="str">
        <f t="shared" si="1"/>
        <v>74.42</v>
      </c>
    </row>
    <row r="67" spans="1:11" x14ac:dyDescent="0.25">
      <c r="A67" t="s">
        <v>436</v>
      </c>
      <c r="B67" t="s">
        <v>437</v>
      </c>
      <c r="C67" t="s">
        <v>438</v>
      </c>
      <c r="D67" t="s">
        <v>56</v>
      </c>
      <c r="E67" t="s">
        <v>439</v>
      </c>
      <c r="F67" t="s">
        <v>440</v>
      </c>
      <c r="G67" t="s">
        <v>441</v>
      </c>
      <c r="I67" s="1" t="s">
        <v>298</v>
      </c>
      <c r="J67">
        <f t="shared" ref="J67:J130" si="2">MATCH(I67,A$2:A$1048576,0)</f>
        <v>45</v>
      </c>
      <c r="K67" t="str">
        <f t="shared" ref="K67:K130" si="3">INDEX(C$2:C$1048576,J67,1)</f>
        <v>43.28</v>
      </c>
    </row>
    <row r="68" spans="1:11" x14ac:dyDescent="0.25">
      <c r="A68" t="s">
        <v>442</v>
      </c>
      <c r="B68" t="s">
        <v>443</v>
      </c>
      <c r="C68" t="s">
        <v>266</v>
      </c>
      <c r="D68" t="s">
        <v>107</v>
      </c>
      <c r="E68" t="s">
        <v>444</v>
      </c>
      <c r="F68" t="s">
        <v>445</v>
      </c>
      <c r="G68" t="s">
        <v>20</v>
      </c>
      <c r="I68" s="1" t="s">
        <v>397</v>
      </c>
      <c r="J68">
        <f t="shared" si="2"/>
        <v>60</v>
      </c>
      <c r="K68" t="str">
        <f t="shared" si="3"/>
        <v>59.3</v>
      </c>
    </row>
    <row r="69" spans="1:11" x14ac:dyDescent="0.25">
      <c r="A69" t="s">
        <v>446</v>
      </c>
      <c r="B69" t="s">
        <v>447</v>
      </c>
      <c r="D69" t="s">
        <v>91</v>
      </c>
      <c r="E69" t="s">
        <v>448</v>
      </c>
      <c r="F69" t="s">
        <v>449</v>
      </c>
      <c r="G69" t="s">
        <v>450</v>
      </c>
      <c r="I69" s="1" t="s">
        <v>122</v>
      </c>
      <c r="J69">
        <f t="shared" si="2"/>
        <v>17</v>
      </c>
      <c r="K69" t="str">
        <f t="shared" si="3"/>
        <v>60.16</v>
      </c>
    </row>
    <row r="70" spans="1:11" x14ac:dyDescent="0.25">
      <c r="A70" t="s">
        <v>451</v>
      </c>
      <c r="B70" t="s">
        <v>452</v>
      </c>
      <c r="C70" t="s">
        <v>453</v>
      </c>
      <c r="D70" t="s">
        <v>454</v>
      </c>
      <c r="E70" t="s">
        <v>455</v>
      </c>
      <c r="F70" t="s">
        <v>456</v>
      </c>
      <c r="G70" t="s">
        <v>457</v>
      </c>
      <c r="I70" s="1" t="s">
        <v>282</v>
      </c>
      <c r="J70">
        <f t="shared" si="2"/>
        <v>43</v>
      </c>
      <c r="K70" t="str">
        <f t="shared" si="3"/>
        <v>47.45</v>
      </c>
    </row>
    <row r="71" spans="1:11" x14ac:dyDescent="0.25">
      <c r="A71" t="s">
        <v>458</v>
      </c>
      <c r="B71" t="s">
        <v>459</v>
      </c>
      <c r="C71" t="s">
        <v>460</v>
      </c>
      <c r="D71" t="s">
        <v>60</v>
      </c>
      <c r="E71" t="s">
        <v>461</v>
      </c>
      <c r="F71" t="s">
        <v>462</v>
      </c>
      <c r="G71" t="s">
        <v>463</v>
      </c>
      <c r="I71" s="1" t="s">
        <v>17</v>
      </c>
      <c r="J71">
        <f t="shared" si="2"/>
        <v>3</v>
      </c>
      <c r="K71" t="str">
        <f t="shared" si="3"/>
        <v>49.95</v>
      </c>
    </row>
    <row r="72" spans="1:11" x14ac:dyDescent="0.25">
      <c r="A72" t="s">
        <v>464</v>
      </c>
      <c r="B72" t="s">
        <v>465</v>
      </c>
      <c r="C72" t="s">
        <v>466</v>
      </c>
      <c r="D72" t="s">
        <v>467</v>
      </c>
      <c r="E72" t="s">
        <v>338</v>
      </c>
      <c r="F72" t="s">
        <v>468</v>
      </c>
      <c r="G72" t="s">
        <v>469</v>
      </c>
      <c r="I72" s="1" t="s">
        <v>743</v>
      </c>
      <c r="J72">
        <f t="shared" si="2"/>
        <v>122</v>
      </c>
      <c r="K72" t="str">
        <f t="shared" si="3"/>
        <v>44.83</v>
      </c>
    </row>
    <row r="73" spans="1:11" x14ac:dyDescent="0.25">
      <c r="A73" t="s">
        <v>470</v>
      </c>
      <c r="B73" t="s">
        <v>471</v>
      </c>
      <c r="C73" t="s">
        <v>473</v>
      </c>
      <c r="D73" t="s">
        <v>474</v>
      </c>
      <c r="E73" t="s">
        <v>475</v>
      </c>
      <c r="F73" t="s">
        <v>476</v>
      </c>
      <c r="I73" s="1" t="s">
        <v>179</v>
      </c>
      <c r="J73">
        <f t="shared" si="2"/>
        <v>27</v>
      </c>
      <c r="K73" t="str">
        <f t="shared" si="3"/>
        <v>59.42</v>
      </c>
    </row>
    <row r="74" spans="1:11" x14ac:dyDescent="0.25">
      <c r="A74" t="s">
        <v>477</v>
      </c>
      <c r="B74" t="s">
        <v>478</v>
      </c>
      <c r="C74" t="s">
        <v>45</v>
      </c>
      <c r="D74" t="s">
        <v>480</v>
      </c>
      <c r="E74" t="s">
        <v>481</v>
      </c>
      <c r="F74" t="s">
        <v>482</v>
      </c>
      <c r="G74" t="s">
        <v>203</v>
      </c>
      <c r="I74" s="1" t="s">
        <v>105</v>
      </c>
      <c r="J74">
        <f t="shared" si="2"/>
        <v>15</v>
      </c>
      <c r="K74" t="str">
        <f t="shared" si="3"/>
        <v>51.08</v>
      </c>
    </row>
    <row r="75" spans="1:11" x14ac:dyDescent="0.25">
      <c r="A75" t="s">
        <v>483</v>
      </c>
      <c r="B75" t="s">
        <v>484</v>
      </c>
      <c r="C75" t="s">
        <v>40</v>
      </c>
      <c r="D75" t="s">
        <v>485</v>
      </c>
      <c r="E75" t="s">
        <v>315</v>
      </c>
      <c r="F75" t="s">
        <v>486</v>
      </c>
      <c r="G75" t="s">
        <v>487</v>
      </c>
      <c r="I75" s="1" t="s">
        <v>506</v>
      </c>
      <c r="J75">
        <f t="shared" si="2"/>
        <v>78</v>
      </c>
      <c r="K75" t="str">
        <f t="shared" si="3"/>
        <v>49.98</v>
      </c>
    </row>
    <row r="76" spans="1:11" x14ac:dyDescent="0.25">
      <c r="A76" t="s">
        <v>488</v>
      </c>
      <c r="B76" t="s">
        <v>489</v>
      </c>
      <c r="C76" t="s">
        <v>224</v>
      </c>
      <c r="D76" t="s">
        <v>223</v>
      </c>
      <c r="E76" t="s">
        <v>248</v>
      </c>
      <c r="F76" t="s">
        <v>384</v>
      </c>
      <c r="G76" t="s">
        <v>493</v>
      </c>
      <c r="J76" t="e">
        <f t="shared" si="2"/>
        <v>#N/A</v>
      </c>
      <c r="K76" t="e">
        <f t="shared" si="3"/>
        <v>#N/A</v>
      </c>
    </row>
    <row r="77" spans="1:11" x14ac:dyDescent="0.25">
      <c r="A77" t="s">
        <v>494</v>
      </c>
      <c r="B77" t="s">
        <v>495</v>
      </c>
      <c r="C77" t="s">
        <v>498</v>
      </c>
      <c r="D77" t="s">
        <v>496</v>
      </c>
      <c r="E77" t="s">
        <v>499</v>
      </c>
      <c r="F77" t="s">
        <v>359</v>
      </c>
      <c r="G77" t="s">
        <v>500</v>
      </c>
      <c r="J77" t="e">
        <f t="shared" si="2"/>
        <v>#N/A</v>
      </c>
      <c r="K77" t="e">
        <f t="shared" si="3"/>
        <v>#N/A</v>
      </c>
    </row>
    <row r="78" spans="1:11" x14ac:dyDescent="0.25">
      <c r="A78" t="s">
        <v>501</v>
      </c>
      <c r="B78" t="s">
        <v>502</v>
      </c>
      <c r="C78" t="s">
        <v>504</v>
      </c>
      <c r="D78" t="s">
        <v>253</v>
      </c>
      <c r="E78" t="s">
        <v>134</v>
      </c>
      <c r="F78" t="s">
        <v>505</v>
      </c>
      <c r="G78" t="s">
        <v>487</v>
      </c>
      <c r="J78" t="e">
        <f t="shared" si="2"/>
        <v>#N/A</v>
      </c>
      <c r="K78" t="e">
        <f t="shared" si="3"/>
        <v>#N/A</v>
      </c>
    </row>
    <row r="79" spans="1:11" x14ac:dyDescent="0.25">
      <c r="A79" t="s">
        <v>506</v>
      </c>
      <c r="B79" t="s">
        <v>507</v>
      </c>
      <c r="C79" t="s">
        <v>508</v>
      </c>
      <c r="D79" t="s">
        <v>509</v>
      </c>
      <c r="E79" t="s">
        <v>510</v>
      </c>
      <c r="F79" t="s">
        <v>511</v>
      </c>
      <c r="G79" t="s">
        <v>512</v>
      </c>
      <c r="J79" t="e">
        <f t="shared" si="2"/>
        <v>#N/A</v>
      </c>
      <c r="K79" t="e">
        <f t="shared" si="3"/>
        <v>#N/A</v>
      </c>
    </row>
    <row r="80" spans="1:11" x14ac:dyDescent="0.25">
      <c r="A80" t="s">
        <v>513</v>
      </c>
      <c r="B80" t="s">
        <v>514</v>
      </c>
      <c r="C80" t="s">
        <v>516</v>
      </c>
      <c r="D80" t="s">
        <v>37</v>
      </c>
      <c r="E80" t="s">
        <v>517</v>
      </c>
      <c r="F80" t="s">
        <v>492</v>
      </c>
      <c r="G80" t="s">
        <v>518</v>
      </c>
      <c r="J80" t="e">
        <f t="shared" si="2"/>
        <v>#N/A</v>
      </c>
      <c r="K80" t="e">
        <f t="shared" si="3"/>
        <v>#N/A</v>
      </c>
    </row>
    <row r="81" spans="1:11" x14ac:dyDescent="0.25">
      <c r="A81" t="s">
        <v>519</v>
      </c>
      <c r="B81" t="s">
        <v>520</v>
      </c>
      <c r="C81" t="s">
        <v>522</v>
      </c>
      <c r="F81" t="s">
        <v>353</v>
      </c>
      <c r="G81" t="s">
        <v>523</v>
      </c>
      <c r="J81" t="e">
        <f t="shared" si="2"/>
        <v>#N/A</v>
      </c>
      <c r="K81" t="e">
        <f t="shared" si="3"/>
        <v>#N/A</v>
      </c>
    </row>
    <row r="82" spans="1:11" x14ac:dyDescent="0.25">
      <c r="A82" t="s">
        <v>524</v>
      </c>
      <c r="B82" t="s">
        <v>525</v>
      </c>
      <c r="C82" t="s">
        <v>527</v>
      </c>
      <c r="D82" t="s">
        <v>528</v>
      </c>
      <c r="E82" t="s">
        <v>92</v>
      </c>
      <c r="F82" t="s">
        <v>529</v>
      </c>
      <c r="G82" t="s">
        <v>530</v>
      </c>
      <c r="J82" t="e">
        <f t="shared" si="2"/>
        <v>#N/A</v>
      </c>
      <c r="K82" t="e">
        <f t="shared" si="3"/>
        <v>#N/A</v>
      </c>
    </row>
    <row r="83" spans="1:11" x14ac:dyDescent="0.25">
      <c r="A83" t="s">
        <v>531</v>
      </c>
      <c r="B83" t="s">
        <v>532</v>
      </c>
      <c r="C83" t="s">
        <v>303</v>
      </c>
      <c r="D83" t="s">
        <v>534</v>
      </c>
      <c r="E83" t="s">
        <v>535</v>
      </c>
      <c r="F83" t="s">
        <v>536</v>
      </c>
      <c r="G83" t="s">
        <v>236</v>
      </c>
      <c r="J83" t="e">
        <f t="shared" si="2"/>
        <v>#N/A</v>
      </c>
      <c r="K83" t="e">
        <f t="shared" si="3"/>
        <v>#N/A</v>
      </c>
    </row>
    <row r="84" spans="1:11" x14ac:dyDescent="0.25">
      <c r="A84" t="s">
        <v>537</v>
      </c>
      <c r="B84" t="s">
        <v>538</v>
      </c>
      <c r="C84" t="s">
        <v>539</v>
      </c>
      <c r="F84" t="s">
        <v>540</v>
      </c>
      <c r="G84" t="s">
        <v>541</v>
      </c>
      <c r="J84" t="e">
        <f t="shared" si="2"/>
        <v>#N/A</v>
      </c>
      <c r="K84" t="e">
        <f t="shared" si="3"/>
        <v>#N/A</v>
      </c>
    </row>
    <row r="85" spans="1:11" x14ac:dyDescent="0.25">
      <c r="A85" t="s">
        <v>542</v>
      </c>
      <c r="B85" t="s">
        <v>543</v>
      </c>
      <c r="C85" t="s">
        <v>544</v>
      </c>
      <c r="F85" t="s">
        <v>545</v>
      </c>
      <c r="G85" t="s">
        <v>491</v>
      </c>
      <c r="J85" t="e">
        <f t="shared" si="2"/>
        <v>#N/A</v>
      </c>
      <c r="K85" t="e">
        <f t="shared" si="3"/>
        <v>#N/A</v>
      </c>
    </row>
    <row r="86" spans="1:11" x14ac:dyDescent="0.25">
      <c r="A86" t="s">
        <v>546</v>
      </c>
      <c r="B86" t="s">
        <v>547</v>
      </c>
      <c r="C86" t="s">
        <v>551</v>
      </c>
      <c r="D86" t="s">
        <v>552</v>
      </c>
      <c r="E86" t="s">
        <v>553</v>
      </c>
      <c r="F86" t="s">
        <v>554</v>
      </c>
      <c r="G86" t="s">
        <v>555</v>
      </c>
      <c r="J86" t="e">
        <f t="shared" si="2"/>
        <v>#N/A</v>
      </c>
      <c r="K86" t="e">
        <f t="shared" si="3"/>
        <v>#N/A</v>
      </c>
    </row>
    <row r="87" spans="1:11" x14ac:dyDescent="0.25">
      <c r="A87" t="s">
        <v>556</v>
      </c>
      <c r="B87" t="s">
        <v>557</v>
      </c>
      <c r="C87" t="s">
        <v>558</v>
      </c>
      <c r="F87" t="s">
        <v>559</v>
      </c>
      <c r="J87" t="e">
        <f t="shared" si="2"/>
        <v>#N/A</v>
      </c>
      <c r="K87" t="e">
        <f t="shared" si="3"/>
        <v>#N/A</v>
      </c>
    </row>
    <row r="88" spans="1:11" x14ac:dyDescent="0.25">
      <c r="A88" t="s">
        <v>560</v>
      </c>
      <c r="B88" t="s">
        <v>561</v>
      </c>
      <c r="C88" t="s">
        <v>564</v>
      </c>
      <c r="D88" t="s">
        <v>565</v>
      </c>
      <c r="E88" t="s">
        <v>566</v>
      </c>
      <c r="F88" t="s">
        <v>151</v>
      </c>
      <c r="G88" t="s">
        <v>156</v>
      </c>
      <c r="J88" t="e">
        <f t="shared" si="2"/>
        <v>#N/A</v>
      </c>
      <c r="K88" t="e">
        <f t="shared" si="3"/>
        <v>#N/A</v>
      </c>
    </row>
    <row r="89" spans="1:11" x14ac:dyDescent="0.25">
      <c r="A89" t="s">
        <v>567</v>
      </c>
      <c r="B89" t="s">
        <v>568</v>
      </c>
      <c r="C89" t="s">
        <v>569</v>
      </c>
      <c r="F89" t="s">
        <v>570</v>
      </c>
      <c r="G89" t="s">
        <v>571</v>
      </c>
      <c r="J89" t="e">
        <f t="shared" si="2"/>
        <v>#N/A</v>
      </c>
      <c r="K89" t="e">
        <f t="shared" si="3"/>
        <v>#N/A</v>
      </c>
    </row>
    <row r="90" spans="1:11" x14ac:dyDescent="0.25">
      <c r="A90" t="s">
        <v>572</v>
      </c>
      <c r="B90" t="s">
        <v>573</v>
      </c>
      <c r="C90" t="s">
        <v>491</v>
      </c>
      <c r="D90" t="s">
        <v>575</v>
      </c>
      <c r="E90" t="s">
        <v>576</v>
      </c>
      <c r="F90" t="s">
        <v>577</v>
      </c>
      <c r="G90" t="s">
        <v>578</v>
      </c>
      <c r="J90" t="e">
        <f t="shared" si="2"/>
        <v>#N/A</v>
      </c>
      <c r="K90" t="e">
        <f t="shared" si="3"/>
        <v>#N/A</v>
      </c>
    </row>
    <row r="91" spans="1:11" x14ac:dyDescent="0.25">
      <c r="A91" t="s">
        <v>579</v>
      </c>
      <c r="B91" t="s">
        <v>580</v>
      </c>
      <c r="C91" t="s">
        <v>367</v>
      </c>
      <c r="D91" t="s">
        <v>582</v>
      </c>
      <c r="E91" t="s">
        <v>583</v>
      </c>
      <c r="F91" t="s">
        <v>584</v>
      </c>
      <c r="G91" t="s">
        <v>585</v>
      </c>
      <c r="J91" t="e">
        <f t="shared" si="2"/>
        <v>#N/A</v>
      </c>
      <c r="K91" t="e">
        <f t="shared" si="3"/>
        <v>#N/A</v>
      </c>
    </row>
    <row r="92" spans="1:11" x14ac:dyDescent="0.25">
      <c r="A92" t="s">
        <v>586</v>
      </c>
      <c r="B92" t="s">
        <v>587</v>
      </c>
      <c r="C92" t="s">
        <v>589</v>
      </c>
      <c r="D92" t="s">
        <v>135</v>
      </c>
      <c r="E92" t="s">
        <v>121</v>
      </c>
      <c r="F92" t="s">
        <v>590</v>
      </c>
      <c r="G92" t="s">
        <v>515</v>
      </c>
      <c r="J92" t="e">
        <f t="shared" si="2"/>
        <v>#N/A</v>
      </c>
      <c r="K92" t="e">
        <f t="shared" si="3"/>
        <v>#N/A</v>
      </c>
    </row>
    <row r="93" spans="1:11" x14ac:dyDescent="0.25">
      <c r="A93" t="s">
        <v>591</v>
      </c>
      <c r="B93" t="s">
        <v>592</v>
      </c>
      <c r="C93" t="s">
        <v>593</v>
      </c>
      <c r="F93" t="s">
        <v>594</v>
      </c>
      <c r="G93" t="s">
        <v>595</v>
      </c>
      <c r="J93" t="e">
        <f t="shared" si="2"/>
        <v>#N/A</v>
      </c>
      <c r="K93" t="e">
        <f t="shared" si="3"/>
        <v>#N/A</v>
      </c>
    </row>
    <row r="94" spans="1:11" x14ac:dyDescent="0.25">
      <c r="A94" t="s">
        <v>596</v>
      </c>
      <c r="B94" t="s">
        <v>597</v>
      </c>
      <c r="J94" t="e">
        <f t="shared" si="2"/>
        <v>#N/A</v>
      </c>
      <c r="K94" t="e">
        <f t="shared" si="3"/>
        <v>#N/A</v>
      </c>
    </row>
    <row r="95" spans="1:11" x14ac:dyDescent="0.25">
      <c r="A95" t="s">
        <v>598</v>
      </c>
      <c r="B95" t="s">
        <v>599</v>
      </c>
      <c r="C95" t="s">
        <v>600</v>
      </c>
      <c r="D95" t="s">
        <v>293</v>
      </c>
      <c r="E95" t="s">
        <v>601</v>
      </c>
      <c r="F95" t="s">
        <v>151</v>
      </c>
      <c r="G95" t="s">
        <v>602</v>
      </c>
      <c r="J95" t="e">
        <f t="shared" si="2"/>
        <v>#N/A</v>
      </c>
      <c r="K95" t="e">
        <f t="shared" si="3"/>
        <v>#N/A</v>
      </c>
    </row>
    <row r="96" spans="1:11" x14ac:dyDescent="0.25">
      <c r="A96" t="s">
        <v>603</v>
      </c>
      <c r="B96" t="s">
        <v>604</v>
      </c>
      <c r="C96" t="s">
        <v>605</v>
      </c>
      <c r="D96" t="s">
        <v>606</v>
      </c>
      <c r="E96" t="s">
        <v>607</v>
      </c>
      <c r="F96" t="s">
        <v>533</v>
      </c>
      <c r="G96" t="s">
        <v>608</v>
      </c>
      <c r="J96" t="e">
        <f t="shared" si="2"/>
        <v>#N/A</v>
      </c>
      <c r="K96" t="e">
        <f t="shared" si="3"/>
        <v>#N/A</v>
      </c>
    </row>
    <row r="97" spans="1:11" x14ac:dyDescent="0.25">
      <c r="A97" t="s">
        <v>609</v>
      </c>
      <c r="B97" t="s">
        <v>610</v>
      </c>
      <c r="C97" t="s">
        <v>611</v>
      </c>
      <c r="D97" t="s">
        <v>612</v>
      </c>
      <c r="E97" t="s">
        <v>613</v>
      </c>
      <c r="F97" t="s">
        <v>614</v>
      </c>
      <c r="G97" t="s">
        <v>615</v>
      </c>
      <c r="J97" t="e">
        <f t="shared" si="2"/>
        <v>#N/A</v>
      </c>
      <c r="K97" t="e">
        <f t="shared" si="3"/>
        <v>#N/A</v>
      </c>
    </row>
    <row r="98" spans="1:11" x14ac:dyDescent="0.25">
      <c r="A98" t="s">
        <v>616</v>
      </c>
      <c r="B98" t="s">
        <v>617</v>
      </c>
      <c r="C98" t="s">
        <v>30</v>
      </c>
      <c r="D98" t="s">
        <v>226</v>
      </c>
      <c r="E98" t="s">
        <v>618</v>
      </c>
      <c r="F98" t="s">
        <v>493</v>
      </c>
      <c r="G98" t="s">
        <v>479</v>
      </c>
      <c r="J98" t="e">
        <f t="shared" si="2"/>
        <v>#N/A</v>
      </c>
      <c r="K98" t="e">
        <f t="shared" si="3"/>
        <v>#N/A</v>
      </c>
    </row>
    <row r="99" spans="1:11" x14ac:dyDescent="0.25">
      <c r="A99" t="s">
        <v>619</v>
      </c>
      <c r="B99" t="s">
        <v>620</v>
      </c>
      <c r="C99" t="s">
        <v>204</v>
      </c>
      <c r="D99" t="s">
        <v>548</v>
      </c>
      <c r="E99" t="s">
        <v>621</v>
      </c>
      <c r="F99" t="s">
        <v>622</v>
      </c>
      <c r="G99" t="s">
        <v>623</v>
      </c>
      <c r="J99" t="e">
        <f t="shared" si="2"/>
        <v>#N/A</v>
      </c>
      <c r="K99" t="e">
        <f t="shared" si="3"/>
        <v>#N/A</v>
      </c>
    </row>
    <row r="100" spans="1:11" x14ac:dyDescent="0.25">
      <c r="A100" t="s">
        <v>624</v>
      </c>
      <c r="B100" t="s">
        <v>625</v>
      </c>
      <c r="C100" t="s">
        <v>581</v>
      </c>
      <c r="D100" t="s">
        <v>626</v>
      </c>
      <c r="F100" t="s">
        <v>627</v>
      </c>
      <c r="G100" t="s">
        <v>628</v>
      </c>
      <c r="J100" t="e">
        <f t="shared" si="2"/>
        <v>#N/A</v>
      </c>
      <c r="K100" t="e">
        <f t="shared" si="3"/>
        <v>#N/A</v>
      </c>
    </row>
    <row r="101" spans="1:11" x14ac:dyDescent="0.25">
      <c r="A101" t="s">
        <v>629</v>
      </c>
      <c r="B101" t="s">
        <v>630</v>
      </c>
      <c r="C101" t="s">
        <v>631</v>
      </c>
      <c r="D101" t="s">
        <v>632</v>
      </c>
      <c r="E101" t="s">
        <v>633</v>
      </c>
      <c r="F101" t="s">
        <v>386</v>
      </c>
      <c r="G101" t="s">
        <v>634</v>
      </c>
      <c r="J101" t="e">
        <f t="shared" si="2"/>
        <v>#N/A</v>
      </c>
      <c r="K101" t="e">
        <f t="shared" si="3"/>
        <v>#N/A</v>
      </c>
    </row>
    <row r="102" spans="1:11" x14ac:dyDescent="0.25">
      <c r="A102" t="s">
        <v>635</v>
      </c>
      <c r="B102" t="s">
        <v>636</v>
      </c>
      <c r="C102" t="s">
        <v>637</v>
      </c>
      <c r="E102" t="s">
        <v>136</v>
      </c>
      <c r="F102" t="s">
        <v>638</v>
      </c>
      <c r="G102" t="s">
        <v>639</v>
      </c>
      <c r="J102" t="e">
        <f t="shared" si="2"/>
        <v>#N/A</v>
      </c>
      <c r="K102" t="e">
        <f t="shared" si="3"/>
        <v>#N/A</v>
      </c>
    </row>
    <row r="103" spans="1:11" x14ac:dyDescent="0.25">
      <c r="A103" t="s">
        <v>640</v>
      </c>
      <c r="B103" t="s">
        <v>641</v>
      </c>
      <c r="C103" t="s">
        <v>643</v>
      </c>
      <c r="F103" t="s">
        <v>98</v>
      </c>
      <c r="G103" t="s">
        <v>203</v>
      </c>
      <c r="J103" t="e">
        <f t="shared" si="2"/>
        <v>#N/A</v>
      </c>
      <c r="K103" t="e">
        <f t="shared" si="3"/>
        <v>#N/A</v>
      </c>
    </row>
    <row r="104" spans="1:11" x14ac:dyDescent="0.25">
      <c r="A104" t="s">
        <v>644</v>
      </c>
      <c r="B104" t="s">
        <v>645</v>
      </c>
      <c r="C104" t="s">
        <v>646</v>
      </c>
      <c r="D104" t="s">
        <v>647</v>
      </c>
      <c r="E104" t="s">
        <v>648</v>
      </c>
      <c r="F104" t="s">
        <v>649</v>
      </c>
      <c r="G104" t="s">
        <v>490</v>
      </c>
      <c r="J104" t="e">
        <f t="shared" si="2"/>
        <v>#N/A</v>
      </c>
      <c r="K104" t="e">
        <f t="shared" si="3"/>
        <v>#N/A</v>
      </c>
    </row>
    <row r="105" spans="1:11" x14ac:dyDescent="0.25">
      <c r="A105" t="s">
        <v>650</v>
      </c>
      <c r="B105" t="s">
        <v>651</v>
      </c>
      <c r="C105" t="s">
        <v>652</v>
      </c>
      <c r="E105" t="s">
        <v>653</v>
      </c>
      <c r="F105" t="s">
        <v>654</v>
      </c>
      <c r="G105" t="s">
        <v>655</v>
      </c>
      <c r="J105" t="e">
        <f t="shared" si="2"/>
        <v>#N/A</v>
      </c>
      <c r="K105" t="e">
        <f t="shared" si="3"/>
        <v>#N/A</v>
      </c>
    </row>
    <row r="106" spans="1:11" x14ac:dyDescent="0.25">
      <c r="A106" t="s">
        <v>656</v>
      </c>
      <c r="B106" t="s">
        <v>657</v>
      </c>
      <c r="C106" t="s">
        <v>658</v>
      </c>
      <c r="D106" t="s">
        <v>659</v>
      </c>
      <c r="E106" t="s">
        <v>154</v>
      </c>
      <c r="F106" t="s">
        <v>660</v>
      </c>
      <c r="G106" t="s">
        <v>661</v>
      </c>
      <c r="J106" t="e">
        <f t="shared" si="2"/>
        <v>#N/A</v>
      </c>
      <c r="K106" t="e">
        <f t="shared" si="3"/>
        <v>#N/A</v>
      </c>
    </row>
    <row r="107" spans="1:11" x14ac:dyDescent="0.25">
      <c r="A107" t="s">
        <v>662</v>
      </c>
      <c r="B107" t="s">
        <v>663</v>
      </c>
      <c r="C107" t="s">
        <v>664</v>
      </c>
      <c r="D107" t="s">
        <v>360</v>
      </c>
      <c r="E107" t="s">
        <v>665</v>
      </c>
      <c r="F107" t="s">
        <v>666</v>
      </c>
      <c r="G107" t="s">
        <v>667</v>
      </c>
      <c r="J107" t="e">
        <f t="shared" si="2"/>
        <v>#N/A</v>
      </c>
      <c r="K107" t="e">
        <f t="shared" si="3"/>
        <v>#N/A</v>
      </c>
    </row>
    <row r="108" spans="1:11" x14ac:dyDescent="0.25">
      <c r="A108" t="s">
        <v>668</v>
      </c>
      <c r="B108" t="s">
        <v>669</v>
      </c>
      <c r="C108" t="s">
        <v>20</v>
      </c>
      <c r="F108" t="s">
        <v>670</v>
      </c>
      <c r="G108" t="s">
        <v>234</v>
      </c>
      <c r="J108" t="e">
        <f t="shared" si="2"/>
        <v>#N/A</v>
      </c>
      <c r="K108" t="e">
        <f t="shared" si="3"/>
        <v>#N/A</v>
      </c>
    </row>
    <row r="109" spans="1:11" x14ac:dyDescent="0.25">
      <c r="A109" t="s">
        <v>671</v>
      </c>
      <c r="B109" t="s">
        <v>672</v>
      </c>
      <c r="C109" t="s">
        <v>673</v>
      </c>
      <c r="D109" t="s">
        <v>588</v>
      </c>
      <c r="E109" t="s">
        <v>674</v>
      </c>
      <c r="F109" t="s">
        <v>675</v>
      </c>
      <c r="G109" t="s">
        <v>676</v>
      </c>
      <c r="J109" t="e">
        <f t="shared" si="2"/>
        <v>#N/A</v>
      </c>
      <c r="K109" t="e">
        <f t="shared" si="3"/>
        <v>#N/A</v>
      </c>
    </row>
    <row r="110" spans="1:11" x14ac:dyDescent="0.25">
      <c r="A110" t="s">
        <v>677</v>
      </c>
      <c r="B110" t="s">
        <v>678</v>
      </c>
      <c r="C110" t="s">
        <v>517</v>
      </c>
      <c r="D110" t="s">
        <v>408</v>
      </c>
      <c r="E110" t="s">
        <v>680</v>
      </c>
      <c r="F110" t="s">
        <v>681</v>
      </c>
      <c r="G110" t="s">
        <v>682</v>
      </c>
      <c r="J110" t="e">
        <f t="shared" si="2"/>
        <v>#N/A</v>
      </c>
      <c r="K110" t="e">
        <f t="shared" si="3"/>
        <v>#N/A</v>
      </c>
    </row>
    <row r="111" spans="1:11" x14ac:dyDescent="0.25">
      <c r="A111" t="s">
        <v>683</v>
      </c>
      <c r="B111" t="s">
        <v>684</v>
      </c>
      <c r="C111" t="s">
        <v>685</v>
      </c>
      <c r="D111" t="s">
        <v>273</v>
      </c>
      <c r="E111" t="s">
        <v>686</v>
      </c>
      <c r="F111" t="s">
        <v>687</v>
      </c>
      <c r="G111" t="s">
        <v>438</v>
      </c>
      <c r="J111" t="e">
        <f t="shared" si="2"/>
        <v>#N/A</v>
      </c>
      <c r="K111" t="e">
        <f t="shared" si="3"/>
        <v>#N/A</v>
      </c>
    </row>
    <row r="112" spans="1:11" x14ac:dyDescent="0.25">
      <c r="A112" t="s">
        <v>688</v>
      </c>
      <c r="B112" t="s">
        <v>689</v>
      </c>
      <c r="C112" t="s">
        <v>690</v>
      </c>
      <c r="D112" t="s">
        <v>691</v>
      </c>
      <c r="E112" t="s">
        <v>692</v>
      </c>
      <c r="F112" t="s">
        <v>693</v>
      </c>
      <c r="G112" t="s">
        <v>694</v>
      </c>
      <c r="J112" t="e">
        <f t="shared" si="2"/>
        <v>#N/A</v>
      </c>
      <c r="K112" t="e">
        <f t="shared" si="3"/>
        <v>#N/A</v>
      </c>
    </row>
    <row r="113" spans="1:11" x14ac:dyDescent="0.25">
      <c r="A113" t="s">
        <v>695</v>
      </c>
      <c r="B113" t="s">
        <v>696</v>
      </c>
      <c r="C113" t="s">
        <v>416</v>
      </c>
      <c r="D113" t="s">
        <v>697</v>
      </c>
      <c r="E113" t="s">
        <v>413</v>
      </c>
      <c r="F113" t="s">
        <v>698</v>
      </c>
      <c r="G113" t="s">
        <v>699</v>
      </c>
      <c r="J113" t="e">
        <f t="shared" si="2"/>
        <v>#N/A</v>
      </c>
      <c r="K113" t="e">
        <f t="shared" si="3"/>
        <v>#N/A</v>
      </c>
    </row>
    <row r="114" spans="1:11" x14ac:dyDescent="0.25">
      <c r="A114" t="s">
        <v>700</v>
      </c>
      <c r="B114" t="s">
        <v>701</v>
      </c>
      <c r="C114" t="s">
        <v>702</v>
      </c>
      <c r="D114" t="s">
        <v>52</v>
      </c>
      <c r="E114" t="s">
        <v>54</v>
      </c>
      <c r="F114" t="s">
        <v>703</v>
      </c>
      <c r="G114" t="s">
        <v>704</v>
      </c>
      <c r="J114" t="e">
        <f t="shared" si="2"/>
        <v>#N/A</v>
      </c>
      <c r="K114" t="e">
        <f t="shared" si="3"/>
        <v>#N/A</v>
      </c>
    </row>
    <row r="115" spans="1:11" x14ac:dyDescent="0.25">
      <c r="A115" t="s">
        <v>705</v>
      </c>
      <c r="B115" t="s">
        <v>706</v>
      </c>
      <c r="J115" t="e">
        <f t="shared" si="2"/>
        <v>#N/A</v>
      </c>
      <c r="K115" t="e">
        <f t="shared" si="3"/>
        <v>#N/A</v>
      </c>
    </row>
    <row r="116" spans="1:11" x14ac:dyDescent="0.25">
      <c r="A116" t="s">
        <v>707</v>
      </c>
      <c r="B116" t="s">
        <v>708</v>
      </c>
      <c r="C116" t="s">
        <v>709</v>
      </c>
      <c r="D116" t="s">
        <v>710</v>
      </c>
      <c r="E116" t="s">
        <v>585</v>
      </c>
      <c r="F116" t="s">
        <v>711</v>
      </c>
      <c r="G116" t="s">
        <v>325</v>
      </c>
      <c r="J116" t="e">
        <f t="shared" si="2"/>
        <v>#N/A</v>
      </c>
      <c r="K116" t="e">
        <f t="shared" si="3"/>
        <v>#N/A</v>
      </c>
    </row>
    <row r="117" spans="1:11" x14ac:dyDescent="0.25">
      <c r="A117" t="s">
        <v>712</v>
      </c>
      <c r="B117" t="s">
        <v>713</v>
      </c>
      <c r="C117" t="s">
        <v>38</v>
      </c>
      <c r="E117" t="s">
        <v>156</v>
      </c>
      <c r="F117" t="s">
        <v>714</v>
      </c>
      <c r="G117" t="s">
        <v>715</v>
      </c>
      <c r="J117" t="e">
        <f t="shared" si="2"/>
        <v>#N/A</v>
      </c>
      <c r="K117" t="e">
        <f t="shared" si="3"/>
        <v>#N/A</v>
      </c>
    </row>
    <row r="118" spans="1:11" x14ac:dyDescent="0.25">
      <c r="A118" t="s">
        <v>716</v>
      </c>
      <c r="B118" t="s">
        <v>717</v>
      </c>
      <c r="C118" t="s">
        <v>718</v>
      </c>
      <c r="D118" t="s">
        <v>719</v>
      </c>
      <c r="E118" t="s">
        <v>720</v>
      </c>
      <c r="F118" t="s">
        <v>230</v>
      </c>
      <c r="G118" t="s">
        <v>417</v>
      </c>
      <c r="J118" t="e">
        <f t="shared" si="2"/>
        <v>#N/A</v>
      </c>
      <c r="K118" t="e">
        <f t="shared" si="3"/>
        <v>#N/A</v>
      </c>
    </row>
    <row r="119" spans="1:11" x14ac:dyDescent="0.25">
      <c r="A119" t="s">
        <v>721</v>
      </c>
      <c r="B119" t="s">
        <v>722</v>
      </c>
      <c r="C119" t="s">
        <v>723</v>
      </c>
      <c r="D119" t="s">
        <v>724</v>
      </c>
      <c r="E119" t="s">
        <v>420</v>
      </c>
      <c r="F119" t="s">
        <v>725</v>
      </c>
      <c r="G119" t="s">
        <v>726</v>
      </c>
      <c r="J119" t="e">
        <f t="shared" si="2"/>
        <v>#N/A</v>
      </c>
      <c r="K119" t="e">
        <f t="shared" si="3"/>
        <v>#N/A</v>
      </c>
    </row>
    <row r="120" spans="1:11" x14ac:dyDescent="0.25">
      <c r="A120" t="s">
        <v>727</v>
      </c>
      <c r="B120" t="s">
        <v>728</v>
      </c>
      <c r="C120" t="s">
        <v>729</v>
      </c>
      <c r="D120" t="s">
        <v>730</v>
      </c>
      <c r="E120" t="s">
        <v>574</v>
      </c>
      <c r="F120" t="s">
        <v>339</v>
      </c>
      <c r="G120" t="s">
        <v>731</v>
      </c>
      <c r="J120" t="e">
        <f t="shared" si="2"/>
        <v>#N/A</v>
      </c>
      <c r="K120" t="e">
        <f t="shared" si="3"/>
        <v>#N/A</v>
      </c>
    </row>
    <row r="121" spans="1:11" x14ac:dyDescent="0.25">
      <c r="A121" t="s">
        <v>732</v>
      </c>
      <c r="B121" t="s">
        <v>733</v>
      </c>
      <c r="C121" t="s">
        <v>680</v>
      </c>
      <c r="D121" t="s">
        <v>734</v>
      </c>
      <c r="E121" t="s">
        <v>735</v>
      </c>
      <c r="F121" t="s">
        <v>736</v>
      </c>
      <c r="G121" t="s">
        <v>562</v>
      </c>
      <c r="J121" t="e">
        <f t="shared" si="2"/>
        <v>#N/A</v>
      </c>
      <c r="K121" t="e">
        <f t="shared" si="3"/>
        <v>#N/A</v>
      </c>
    </row>
    <row r="122" spans="1:11" x14ac:dyDescent="0.25">
      <c r="A122" t="s">
        <v>737</v>
      </c>
      <c r="B122" t="s">
        <v>738</v>
      </c>
      <c r="C122" t="s">
        <v>740</v>
      </c>
      <c r="D122" t="s">
        <v>741</v>
      </c>
      <c r="E122" t="s">
        <v>739</v>
      </c>
      <c r="F122" t="s">
        <v>222</v>
      </c>
      <c r="G122" t="s">
        <v>742</v>
      </c>
      <c r="J122" t="e">
        <f t="shared" si="2"/>
        <v>#N/A</v>
      </c>
      <c r="K122" t="e">
        <f t="shared" si="3"/>
        <v>#N/A</v>
      </c>
    </row>
    <row r="123" spans="1:11" x14ac:dyDescent="0.25">
      <c r="A123" t="s">
        <v>743</v>
      </c>
      <c r="B123" t="s">
        <v>744</v>
      </c>
      <c r="C123" t="s">
        <v>642</v>
      </c>
      <c r="F123" t="s">
        <v>746</v>
      </c>
      <c r="G123" t="s">
        <v>747</v>
      </c>
      <c r="J123" t="e">
        <f t="shared" si="2"/>
        <v>#N/A</v>
      </c>
      <c r="K123" t="e">
        <f t="shared" si="3"/>
        <v>#N/A</v>
      </c>
    </row>
    <row r="124" spans="1:11" x14ac:dyDescent="0.25">
      <c r="A124" t="s">
        <v>748</v>
      </c>
      <c r="B124" t="s">
        <v>749</v>
      </c>
      <c r="J124" t="e">
        <f t="shared" si="2"/>
        <v>#N/A</v>
      </c>
      <c r="K124" t="e">
        <f t="shared" si="3"/>
        <v>#N/A</v>
      </c>
    </row>
    <row r="125" spans="1:11" x14ac:dyDescent="0.25">
      <c r="A125" t="s">
        <v>750</v>
      </c>
      <c r="B125" t="s">
        <v>751</v>
      </c>
      <c r="C125" t="s">
        <v>752</v>
      </c>
      <c r="D125" t="s">
        <v>753</v>
      </c>
      <c r="E125" t="s">
        <v>754</v>
      </c>
      <c r="F125" t="s">
        <v>755</v>
      </c>
      <c r="G125" t="s">
        <v>756</v>
      </c>
      <c r="J125" t="e">
        <f t="shared" si="2"/>
        <v>#N/A</v>
      </c>
      <c r="K125" t="e">
        <f t="shared" si="3"/>
        <v>#N/A</v>
      </c>
    </row>
    <row r="126" spans="1:11" x14ac:dyDescent="0.25">
      <c r="A126" t="s">
        <v>757</v>
      </c>
      <c r="B126" t="s">
        <v>758</v>
      </c>
      <c r="C126" t="s">
        <v>759</v>
      </c>
      <c r="D126" t="s">
        <v>760</v>
      </c>
      <c r="E126" t="s">
        <v>679</v>
      </c>
      <c r="F126" t="s">
        <v>761</v>
      </c>
      <c r="G126" t="s">
        <v>143</v>
      </c>
      <c r="J126" t="e">
        <f t="shared" si="2"/>
        <v>#N/A</v>
      </c>
      <c r="K126" t="e">
        <f t="shared" si="3"/>
        <v>#N/A</v>
      </c>
    </row>
    <row r="127" spans="1:11" x14ac:dyDescent="0.25">
      <c r="A127" t="s">
        <v>762</v>
      </c>
      <c r="B127" t="s">
        <v>763</v>
      </c>
      <c r="C127" t="s">
        <v>764</v>
      </c>
      <c r="J127" t="e">
        <f t="shared" si="2"/>
        <v>#N/A</v>
      </c>
      <c r="K127" t="e">
        <f t="shared" si="3"/>
        <v>#N/A</v>
      </c>
    </row>
    <row r="128" spans="1:11" x14ac:dyDescent="0.25">
      <c r="A128" t="s">
        <v>765</v>
      </c>
      <c r="B128" t="s">
        <v>766</v>
      </c>
      <c r="C128" t="s">
        <v>767</v>
      </c>
      <c r="D128" t="s">
        <v>768</v>
      </c>
      <c r="E128" t="s">
        <v>466</v>
      </c>
      <c r="F128" t="s">
        <v>769</v>
      </c>
      <c r="G128" t="s">
        <v>770</v>
      </c>
      <c r="J128" t="e">
        <f t="shared" si="2"/>
        <v>#N/A</v>
      </c>
      <c r="K128" t="e">
        <f t="shared" si="3"/>
        <v>#N/A</v>
      </c>
    </row>
    <row r="129" spans="1:11" x14ac:dyDescent="0.25">
      <c r="A129" t="s">
        <v>771</v>
      </c>
      <c r="B129" t="s">
        <v>772</v>
      </c>
      <c r="J129" t="e">
        <f t="shared" si="2"/>
        <v>#N/A</v>
      </c>
      <c r="K129" t="e">
        <f t="shared" si="3"/>
        <v>#N/A</v>
      </c>
    </row>
    <row r="130" spans="1:11" x14ac:dyDescent="0.25">
      <c r="A130" t="s">
        <v>773</v>
      </c>
      <c r="B130" t="s">
        <v>774</v>
      </c>
      <c r="C130" t="s">
        <v>775</v>
      </c>
      <c r="D130" t="s">
        <v>776</v>
      </c>
      <c r="E130" t="s">
        <v>777</v>
      </c>
      <c r="F130" t="s">
        <v>745</v>
      </c>
      <c r="G130" t="s">
        <v>778</v>
      </c>
      <c r="J130" t="e">
        <f t="shared" si="2"/>
        <v>#N/A</v>
      </c>
      <c r="K130" t="e">
        <f t="shared" si="3"/>
        <v>#N/A</v>
      </c>
    </row>
    <row r="131" spans="1:11" x14ac:dyDescent="0.25">
      <c r="A131" t="s">
        <v>779</v>
      </c>
      <c r="B131" t="s">
        <v>780</v>
      </c>
      <c r="C131" t="s">
        <v>521</v>
      </c>
      <c r="E131" t="s">
        <v>781</v>
      </c>
      <c r="F131" t="s">
        <v>152</v>
      </c>
      <c r="G131" t="s">
        <v>782</v>
      </c>
      <c r="J131" t="e">
        <f t="shared" ref="J131:J148" si="4">MATCH(I131,A$2:A$1048576,0)</f>
        <v>#N/A</v>
      </c>
      <c r="K131" t="e">
        <f t="shared" ref="K131:K148" si="5">INDEX(C$2:C$1048576,J131,1)</f>
        <v>#N/A</v>
      </c>
    </row>
    <row r="132" spans="1:11" x14ac:dyDescent="0.25">
      <c r="A132" t="s">
        <v>783</v>
      </c>
      <c r="B132" t="s">
        <v>784</v>
      </c>
      <c r="C132" t="s">
        <v>785</v>
      </c>
      <c r="E132" t="s">
        <v>786</v>
      </c>
      <c r="F132" t="s">
        <v>787</v>
      </c>
      <c r="G132" t="s">
        <v>788</v>
      </c>
      <c r="J132" t="e">
        <f t="shared" si="4"/>
        <v>#N/A</v>
      </c>
      <c r="K132" t="e">
        <f t="shared" si="5"/>
        <v>#N/A</v>
      </c>
    </row>
    <row r="133" spans="1:11" x14ac:dyDescent="0.25">
      <c r="A133" t="s">
        <v>789</v>
      </c>
      <c r="B133" t="s">
        <v>790</v>
      </c>
      <c r="C133" t="s">
        <v>791</v>
      </c>
      <c r="D133" t="s">
        <v>792</v>
      </c>
      <c r="E133" t="s">
        <v>793</v>
      </c>
      <c r="F133" t="s">
        <v>794</v>
      </c>
      <c r="G133" t="s">
        <v>795</v>
      </c>
      <c r="J133" t="e">
        <f t="shared" si="4"/>
        <v>#N/A</v>
      </c>
      <c r="K133" t="e">
        <f t="shared" si="5"/>
        <v>#N/A</v>
      </c>
    </row>
    <row r="134" spans="1:11" x14ac:dyDescent="0.25">
      <c r="A134" t="s">
        <v>796</v>
      </c>
      <c r="B134" t="s">
        <v>797</v>
      </c>
      <c r="J134" t="e">
        <f t="shared" si="4"/>
        <v>#N/A</v>
      </c>
      <c r="K134" t="e">
        <f t="shared" si="5"/>
        <v>#N/A</v>
      </c>
    </row>
    <row r="135" spans="1:11" x14ac:dyDescent="0.25">
      <c r="A135" t="s">
        <v>798</v>
      </c>
      <c r="B135" t="s">
        <v>799</v>
      </c>
      <c r="C135" t="s">
        <v>646</v>
      </c>
      <c r="D135" t="s">
        <v>800</v>
      </c>
      <c r="E135" t="s">
        <v>469</v>
      </c>
      <c r="F135" t="s">
        <v>801</v>
      </c>
      <c r="G135" t="s">
        <v>35</v>
      </c>
      <c r="J135" t="e">
        <f t="shared" si="4"/>
        <v>#N/A</v>
      </c>
      <c r="K135" t="e">
        <f t="shared" si="5"/>
        <v>#N/A</v>
      </c>
    </row>
    <row r="136" spans="1:11" x14ac:dyDescent="0.25">
      <c r="A136" t="s">
        <v>802</v>
      </c>
      <c r="B136" t="s">
        <v>803</v>
      </c>
      <c r="J136" t="e">
        <f t="shared" si="4"/>
        <v>#N/A</v>
      </c>
      <c r="K136" t="e">
        <f t="shared" si="5"/>
        <v>#N/A</v>
      </c>
    </row>
    <row r="137" spans="1:11" x14ac:dyDescent="0.25">
      <c r="A137" t="s">
        <v>804</v>
      </c>
      <c r="B137" t="s">
        <v>805</v>
      </c>
      <c r="J137" t="e">
        <f t="shared" si="4"/>
        <v>#N/A</v>
      </c>
      <c r="K137" t="e">
        <f t="shared" si="5"/>
        <v>#N/A</v>
      </c>
    </row>
    <row r="138" spans="1:11" x14ac:dyDescent="0.25">
      <c r="A138" t="s">
        <v>806</v>
      </c>
      <c r="B138" t="s">
        <v>807</v>
      </c>
      <c r="C138" t="s">
        <v>808</v>
      </c>
      <c r="D138" t="s">
        <v>809</v>
      </c>
      <c r="E138" t="s">
        <v>810</v>
      </c>
      <c r="F138" t="s">
        <v>315</v>
      </c>
      <c r="G138" t="s">
        <v>41</v>
      </c>
      <c r="J138" t="e">
        <f t="shared" si="4"/>
        <v>#N/A</v>
      </c>
      <c r="K138" t="e">
        <f t="shared" si="5"/>
        <v>#N/A</v>
      </c>
    </row>
    <row r="139" spans="1:11" x14ac:dyDescent="0.25">
      <c r="A139" t="s">
        <v>811</v>
      </c>
      <c r="B139" t="s">
        <v>812</v>
      </c>
      <c r="C139" t="s">
        <v>813</v>
      </c>
      <c r="D139" t="s">
        <v>814</v>
      </c>
      <c r="E139" t="s">
        <v>815</v>
      </c>
      <c r="F139" t="s">
        <v>816</v>
      </c>
      <c r="G139" t="s">
        <v>817</v>
      </c>
      <c r="J139" t="e">
        <f t="shared" si="4"/>
        <v>#N/A</v>
      </c>
      <c r="K139" t="e">
        <f t="shared" si="5"/>
        <v>#N/A</v>
      </c>
    </row>
    <row r="140" spans="1:11" x14ac:dyDescent="0.25">
      <c r="A140" t="s">
        <v>818</v>
      </c>
      <c r="B140" t="s">
        <v>819</v>
      </c>
      <c r="C140" t="s">
        <v>820</v>
      </c>
      <c r="D140" t="s">
        <v>686</v>
      </c>
      <c r="E140" t="s">
        <v>821</v>
      </c>
      <c r="F140" t="s">
        <v>822</v>
      </c>
      <c r="G140" t="s">
        <v>823</v>
      </c>
      <c r="J140" t="e">
        <f t="shared" si="4"/>
        <v>#N/A</v>
      </c>
      <c r="K140" t="e">
        <f t="shared" si="5"/>
        <v>#N/A</v>
      </c>
    </row>
    <row r="141" spans="1:11" x14ac:dyDescent="0.25">
      <c r="A141" t="s">
        <v>824</v>
      </c>
      <c r="B141" t="s">
        <v>825</v>
      </c>
      <c r="C141" t="s">
        <v>497</v>
      </c>
      <c r="F141" t="s">
        <v>826</v>
      </c>
      <c r="J141" t="e">
        <f t="shared" si="4"/>
        <v>#N/A</v>
      </c>
      <c r="K141" t="e">
        <f t="shared" si="5"/>
        <v>#N/A</v>
      </c>
    </row>
    <row r="142" spans="1:11" x14ac:dyDescent="0.25">
      <c r="A142" t="s">
        <v>827</v>
      </c>
      <c r="B142" t="s">
        <v>828</v>
      </c>
      <c r="J142" t="e">
        <f t="shared" si="4"/>
        <v>#N/A</v>
      </c>
      <c r="K142" t="e">
        <f t="shared" si="5"/>
        <v>#N/A</v>
      </c>
    </row>
    <row r="143" spans="1:11" x14ac:dyDescent="0.25">
      <c r="A143" t="s">
        <v>829</v>
      </c>
      <c r="B143" t="s">
        <v>830</v>
      </c>
      <c r="C143" t="s">
        <v>831</v>
      </c>
      <c r="F143" t="s">
        <v>832</v>
      </c>
      <c r="G143" t="s">
        <v>833</v>
      </c>
      <c r="J143" t="e">
        <f t="shared" si="4"/>
        <v>#N/A</v>
      </c>
      <c r="K143" t="e">
        <f t="shared" si="5"/>
        <v>#N/A</v>
      </c>
    </row>
    <row r="144" spans="1:11" x14ac:dyDescent="0.25">
      <c r="A144" t="s">
        <v>834</v>
      </c>
      <c r="B144" t="s">
        <v>835</v>
      </c>
      <c r="C144" t="s">
        <v>430</v>
      </c>
      <c r="E144" t="s">
        <v>836</v>
      </c>
      <c r="F144" t="s">
        <v>837</v>
      </c>
      <c r="G144" t="s">
        <v>550</v>
      </c>
      <c r="J144" t="e">
        <f t="shared" si="4"/>
        <v>#N/A</v>
      </c>
      <c r="K144" t="e">
        <f t="shared" si="5"/>
        <v>#N/A</v>
      </c>
    </row>
    <row r="145" spans="1:11" x14ac:dyDescent="0.25">
      <c r="A145" t="s">
        <v>838</v>
      </c>
      <c r="B145" t="s">
        <v>839</v>
      </c>
      <c r="C145" t="s">
        <v>292</v>
      </c>
      <c r="D145" t="s">
        <v>405</v>
      </c>
      <c r="E145" t="s">
        <v>840</v>
      </c>
      <c r="F145" t="s">
        <v>117</v>
      </c>
      <c r="G145" t="s">
        <v>841</v>
      </c>
      <c r="J145" t="e">
        <f t="shared" si="4"/>
        <v>#N/A</v>
      </c>
      <c r="K145" t="e">
        <f t="shared" si="5"/>
        <v>#N/A</v>
      </c>
    </row>
    <row r="146" spans="1:11" x14ac:dyDescent="0.25">
      <c r="A146" t="s">
        <v>842</v>
      </c>
      <c r="B146" t="s">
        <v>843</v>
      </c>
      <c r="C146" t="s">
        <v>284</v>
      </c>
      <c r="D146" t="s">
        <v>844</v>
      </c>
      <c r="E146" t="s">
        <v>845</v>
      </c>
      <c r="F146" t="s">
        <v>846</v>
      </c>
      <c r="G146" t="s">
        <v>847</v>
      </c>
      <c r="J146" t="e">
        <f t="shared" si="4"/>
        <v>#N/A</v>
      </c>
      <c r="K146" t="e">
        <f t="shared" si="5"/>
        <v>#N/A</v>
      </c>
    </row>
    <row r="147" spans="1:11" x14ac:dyDescent="0.25">
      <c r="A147" t="s">
        <v>848</v>
      </c>
      <c r="B147" t="s">
        <v>849</v>
      </c>
      <c r="C147" t="s">
        <v>698</v>
      </c>
      <c r="J147" t="e">
        <f t="shared" si="4"/>
        <v>#N/A</v>
      </c>
      <c r="K147" t="e">
        <f t="shared" si="5"/>
        <v>#N/A</v>
      </c>
    </row>
    <row r="148" spans="1:11" x14ac:dyDescent="0.25">
      <c r="A148" t="s">
        <v>850</v>
      </c>
      <c r="B148" t="s">
        <v>851</v>
      </c>
      <c r="J148" t="e">
        <f t="shared" si="4"/>
        <v>#N/A</v>
      </c>
      <c r="K148" t="e">
        <f t="shared" si="5"/>
        <v>#N/A</v>
      </c>
    </row>
    <row r="149" spans="1:11" x14ac:dyDescent="0.25">
      <c r="A149" t="s">
        <v>852</v>
      </c>
      <c r="B149" t="s">
        <v>853</v>
      </c>
      <c r="C149" t="s">
        <v>854</v>
      </c>
      <c r="D149" t="s">
        <v>855</v>
      </c>
      <c r="E149" t="s">
        <v>99</v>
      </c>
      <c r="F149" t="s">
        <v>856</v>
      </c>
      <c r="G149" t="s">
        <v>857</v>
      </c>
    </row>
    <row r="150" spans="1:11" x14ac:dyDescent="0.25">
      <c r="A150" t="s">
        <v>858</v>
      </c>
      <c r="B150" t="s">
        <v>859</v>
      </c>
      <c r="C150" t="s">
        <v>860</v>
      </c>
      <c r="D150" t="s">
        <v>861</v>
      </c>
      <c r="E150" t="s">
        <v>862</v>
      </c>
      <c r="F150" t="s">
        <v>778</v>
      </c>
      <c r="G150" t="s">
        <v>133</v>
      </c>
    </row>
    <row r="151" spans="1:11" x14ac:dyDescent="0.25">
      <c r="A151" t="s">
        <v>863</v>
      </c>
      <c r="B151" t="s">
        <v>864</v>
      </c>
      <c r="C151" t="s">
        <v>865</v>
      </c>
      <c r="D151" t="s">
        <v>866</v>
      </c>
      <c r="E151" t="s">
        <v>867</v>
      </c>
      <c r="F151" t="s">
        <v>868</v>
      </c>
      <c r="G151" t="s">
        <v>540</v>
      </c>
    </row>
    <row r="152" spans="1:11" x14ac:dyDescent="0.25">
      <c r="A152" t="s">
        <v>869</v>
      </c>
      <c r="B152" t="s">
        <v>870</v>
      </c>
      <c r="C152" t="s">
        <v>871</v>
      </c>
      <c r="D152" t="s">
        <v>503</v>
      </c>
      <c r="E152" t="s">
        <v>549</v>
      </c>
      <c r="F152" t="s">
        <v>872</v>
      </c>
      <c r="G152" t="s">
        <v>873</v>
      </c>
    </row>
    <row r="153" spans="1:11" x14ac:dyDescent="0.25">
      <c r="A153" t="s">
        <v>874</v>
      </c>
      <c r="B153" t="s">
        <v>875</v>
      </c>
      <c r="C153" t="s">
        <v>876</v>
      </c>
      <c r="D153" t="s">
        <v>877</v>
      </c>
      <c r="E153" t="s">
        <v>472</v>
      </c>
      <c r="F153" t="s">
        <v>878</v>
      </c>
      <c r="G153" t="s">
        <v>879</v>
      </c>
    </row>
    <row r="154" spans="1:11" x14ac:dyDescent="0.25">
      <c r="A154" t="s">
        <v>880</v>
      </c>
      <c r="B154" t="s">
        <v>881</v>
      </c>
      <c r="C154" t="s">
        <v>882</v>
      </c>
      <c r="D154" t="s">
        <v>883</v>
      </c>
      <c r="E154" t="s">
        <v>310</v>
      </c>
      <c r="F154" t="s">
        <v>36</v>
      </c>
      <c r="G154" t="s">
        <v>884</v>
      </c>
    </row>
    <row r="155" spans="1:11" x14ac:dyDescent="0.25">
      <c r="A155" t="s">
        <v>885</v>
      </c>
      <c r="B155" t="s">
        <v>886</v>
      </c>
      <c r="C155" t="s">
        <v>81</v>
      </c>
      <c r="D155" t="s">
        <v>887</v>
      </c>
      <c r="E155" t="s">
        <v>337</v>
      </c>
      <c r="F155" t="s">
        <v>888</v>
      </c>
      <c r="G155" t="s">
        <v>889</v>
      </c>
    </row>
    <row r="156" spans="1:11" x14ac:dyDescent="0.25">
      <c r="A156" t="s">
        <v>890</v>
      </c>
      <c r="B156" t="s">
        <v>891</v>
      </c>
      <c r="C156" t="s">
        <v>892</v>
      </c>
      <c r="D156" t="s">
        <v>893</v>
      </c>
      <c r="E156" t="s">
        <v>894</v>
      </c>
      <c r="F156" t="s">
        <v>126</v>
      </c>
      <c r="G156" t="s">
        <v>895</v>
      </c>
    </row>
    <row r="157" spans="1:11" x14ac:dyDescent="0.25">
      <c r="A157" t="s">
        <v>896</v>
      </c>
      <c r="B157" t="s">
        <v>897</v>
      </c>
      <c r="C157" t="s">
        <v>276</v>
      </c>
      <c r="D157" t="s">
        <v>67</v>
      </c>
      <c r="E157" t="s">
        <v>109</v>
      </c>
      <c r="F157" t="s">
        <v>648</v>
      </c>
      <c r="G157" t="s">
        <v>898</v>
      </c>
    </row>
    <row r="158" spans="1:11" x14ac:dyDescent="0.25">
      <c r="A158" t="s">
        <v>899</v>
      </c>
      <c r="B158" t="s">
        <v>900</v>
      </c>
      <c r="C158" t="s">
        <v>563</v>
      </c>
      <c r="D158" t="s">
        <v>792</v>
      </c>
      <c r="E158" t="s">
        <v>901</v>
      </c>
      <c r="F158" t="s">
        <v>902</v>
      </c>
      <c r="G158" t="s">
        <v>392</v>
      </c>
    </row>
    <row r="159" spans="1:11" x14ac:dyDescent="0.25">
      <c r="A159" t="s">
        <v>903</v>
      </c>
      <c r="B159" t="s">
        <v>904</v>
      </c>
      <c r="C159" t="s">
        <v>195</v>
      </c>
      <c r="F159" t="s">
        <v>905</v>
      </c>
      <c r="G159" t="s">
        <v>906</v>
      </c>
    </row>
    <row r="160" spans="1:11" x14ac:dyDescent="0.25">
      <c r="A160" t="s">
        <v>907</v>
      </c>
      <c r="B160" t="s">
        <v>908</v>
      </c>
      <c r="C160" t="s">
        <v>909</v>
      </c>
      <c r="D160" t="s">
        <v>423</v>
      </c>
      <c r="E160" t="s">
        <v>910</v>
      </c>
      <c r="F160" t="s">
        <v>911</v>
      </c>
      <c r="G160" t="s">
        <v>526</v>
      </c>
    </row>
    <row r="161" spans="1:7" x14ac:dyDescent="0.25">
      <c r="A161" t="s">
        <v>912</v>
      </c>
      <c r="B161" t="s">
        <v>913</v>
      </c>
      <c r="C161" t="s">
        <v>914</v>
      </c>
      <c r="D161" t="s">
        <v>108</v>
      </c>
      <c r="E161" t="s">
        <v>915</v>
      </c>
      <c r="F161" t="s">
        <v>916</v>
      </c>
      <c r="G161" t="s">
        <v>917</v>
      </c>
    </row>
    <row r="162" spans="1:7" x14ac:dyDescent="0.25">
      <c r="A162" t="s">
        <v>918</v>
      </c>
      <c r="B162" t="s">
        <v>919</v>
      </c>
      <c r="C162" t="s">
        <v>10</v>
      </c>
      <c r="D162" t="s">
        <v>920</v>
      </c>
      <c r="E162" t="s">
        <v>921</v>
      </c>
      <c r="F162" t="s">
        <v>922</v>
      </c>
      <c r="G162" t="s">
        <v>9</v>
      </c>
    </row>
  </sheetData>
  <pageMargins left="0.7" right="0.7" top="0.75" bottom="0.75" header="0.3" footer="0.3"/>
  <ignoredErrors>
    <ignoredError sqref="A1:B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hapiscore_whr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2026-04-09T12:43:07Z</dcterms:modified>
</cp:coreProperties>
</file>