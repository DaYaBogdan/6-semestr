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886A6285-0B96-4AAE-9311-220FE52E85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equality_index_gini" sheetId="1" r:id="rId1"/>
  </sheets>
  <calcPr calcId="18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L14" i="1" s="1"/>
  <c r="K15" i="1"/>
  <c r="K16" i="1"/>
  <c r="K17" i="1"/>
  <c r="K18" i="1"/>
  <c r="K19" i="1"/>
  <c r="K20" i="1"/>
  <c r="K21" i="1"/>
  <c r="K22" i="1"/>
  <c r="K23" i="1"/>
  <c r="K24" i="1"/>
  <c r="K25" i="1"/>
  <c r="K26" i="1"/>
  <c r="L26" i="1" s="1"/>
  <c r="K27" i="1"/>
  <c r="K28" i="1"/>
  <c r="K29" i="1"/>
  <c r="K30" i="1"/>
  <c r="K31" i="1"/>
  <c r="K32" i="1"/>
  <c r="K33" i="1"/>
  <c r="K34" i="1"/>
  <c r="K35" i="1"/>
  <c r="K36" i="1"/>
  <c r="L36" i="1" s="1"/>
  <c r="K37" i="1"/>
  <c r="K38" i="1"/>
  <c r="L38" i="1" s="1"/>
  <c r="K39" i="1"/>
  <c r="K40" i="1"/>
  <c r="K41" i="1"/>
  <c r="K42" i="1"/>
  <c r="K43" i="1"/>
  <c r="K44" i="1"/>
  <c r="K45" i="1"/>
  <c r="K46" i="1"/>
  <c r="K47" i="1"/>
  <c r="K48" i="1"/>
  <c r="L48" i="1" s="1"/>
  <c r="K49" i="1"/>
  <c r="K50" i="1"/>
  <c r="L50" i="1" s="1"/>
  <c r="K51" i="1"/>
  <c r="K52" i="1"/>
  <c r="K53" i="1"/>
  <c r="K54" i="1"/>
  <c r="K55" i="1"/>
  <c r="K56" i="1"/>
  <c r="K57" i="1"/>
  <c r="K58" i="1"/>
  <c r="K59" i="1"/>
  <c r="K60" i="1"/>
  <c r="L60" i="1" s="1"/>
  <c r="K61" i="1"/>
  <c r="K62" i="1"/>
  <c r="L62" i="1" s="1"/>
  <c r="K63" i="1"/>
  <c r="K64" i="1"/>
  <c r="K65" i="1"/>
  <c r="K66" i="1"/>
  <c r="K67" i="1"/>
  <c r="K68" i="1"/>
  <c r="K69" i="1"/>
  <c r="K70" i="1"/>
  <c r="K71" i="1"/>
  <c r="K72" i="1"/>
  <c r="L72" i="1" s="1"/>
  <c r="K73" i="1"/>
  <c r="K74" i="1"/>
  <c r="L74" i="1" s="1"/>
  <c r="K75" i="1"/>
  <c r="K76" i="1"/>
  <c r="K77" i="1"/>
  <c r="K78" i="1"/>
  <c r="K79" i="1"/>
  <c r="K80" i="1"/>
  <c r="K81" i="1"/>
  <c r="K82" i="1"/>
  <c r="K83" i="1"/>
  <c r="K84" i="1"/>
  <c r="L84" i="1" s="1"/>
  <c r="K85" i="1"/>
  <c r="K86" i="1"/>
  <c r="L86" i="1" s="1"/>
  <c r="K87" i="1"/>
  <c r="K88" i="1"/>
  <c r="K89" i="1"/>
  <c r="K90" i="1"/>
  <c r="K91" i="1"/>
  <c r="K92" i="1"/>
  <c r="K93" i="1"/>
  <c r="K94" i="1"/>
  <c r="K95" i="1"/>
  <c r="K96" i="1"/>
  <c r="L96" i="1" s="1"/>
  <c r="K97" i="1"/>
  <c r="K98" i="1"/>
  <c r="L98" i="1" s="1"/>
  <c r="K99" i="1"/>
  <c r="K100" i="1"/>
  <c r="K101" i="1"/>
  <c r="K102" i="1"/>
  <c r="K103" i="1"/>
  <c r="K104" i="1"/>
  <c r="K105" i="1"/>
  <c r="K106" i="1"/>
  <c r="K107" i="1"/>
  <c r="K108" i="1"/>
  <c r="L108" i="1" s="1"/>
  <c r="K109" i="1"/>
  <c r="K110" i="1"/>
  <c r="L110" i="1" s="1"/>
  <c r="K111" i="1"/>
  <c r="L111" i="1" s="1"/>
  <c r="K112" i="1"/>
  <c r="K113" i="1"/>
  <c r="K114" i="1"/>
  <c r="K115" i="1"/>
  <c r="K116" i="1"/>
  <c r="K117" i="1"/>
  <c r="K118" i="1"/>
  <c r="K119" i="1"/>
  <c r="K120" i="1"/>
  <c r="L120" i="1" s="1"/>
  <c r="K121" i="1"/>
  <c r="K122" i="1"/>
  <c r="L122" i="1" s="1"/>
  <c r="K123" i="1"/>
  <c r="L123" i="1" s="1"/>
  <c r="K124" i="1"/>
  <c r="K125" i="1"/>
  <c r="L125" i="1" s="1"/>
  <c r="K126" i="1"/>
  <c r="K127" i="1"/>
  <c r="K128" i="1"/>
  <c r="K129" i="1"/>
  <c r="K130" i="1"/>
  <c r="K131" i="1"/>
  <c r="K132" i="1"/>
  <c r="L132" i="1" s="1"/>
  <c r="K133" i="1"/>
  <c r="L133" i="1" s="1"/>
  <c r="K134" i="1"/>
  <c r="L134" i="1" s="1"/>
  <c r="K135" i="1"/>
  <c r="L135" i="1" s="1"/>
  <c r="K136" i="1"/>
  <c r="K137" i="1"/>
  <c r="L137" i="1" s="1"/>
  <c r="K138" i="1"/>
  <c r="L138" i="1" s="1"/>
  <c r="K139" i="1"/>
  <c r="K140" i="1"/>
  <c r="K141" i="1"/>
  <c r="K142" i="1"/>
  <c r="K143" i="1"/>
  <c r="K144" i="1"/>
  <c r="L144" i="1" s="1"/>
  <c r="K145" i="1"/>
  <c r="L145" i="1" s="1"/>
  <c r="K146" i="1"/>
  <c r="L146" i="1" s="1"/>
  <c r="K147" i="1"/>
  <c r="L147" i="1" s="1"/>
  <c r="K148" i="1"/>
  <c r="K2" i="1"/>
  <c r="L2" i="1" s="1"/>
  <c r="L148" i="1"/>
  <c r="L143" i="1"/>
  <c r="L142" i="1"/>
  <c r="L141" i="1"/>
  <c r="L140" i="1"/>
  <c r="L139" i="1"/>
  <c r="L136" i="1"/>
  <c r="L131" i="1"/>
  <c r="L130" i="1"/>
  <c r="L129" i="1"/>
  <c r="L128" i="1"/>
  <c r="L127" i="1"/>
  <c r="L126" i="1"/>
  <c r="L124" i="1"/>
  <c r="L121" i="1"/>
  <c r="L119" i="1"/>
  <c r="L118" i="1"/>
  <c r="L117" i="1"/>
  <c r="L116" i="1"/>
  <c r="L115" i="1"/>
  <c r="L114" i="1"/>
  <c r="L113" i="1"/>
  <c r="L112" i="1"/>
  <c r="L109" i="1"/>
  <c r="L107" i="1"/>
  <c r="L106" i="1"/>
  <c r="L105" i="1"/>
  <c r="L104" i="1"/>
  <c r="L103" i="1"/>
  <c r="L102" i="1"/>
  <c r="L101" i="1"/>
  <c r="L100" i="1"/>
  <c r="L99" i="1"/>
  <c r="L97" i="1"/>
  <c r="L95" i="1"/>
  <c r="L94" i="1"/>
  <c r="L93" i="1"/>
  <c r="L92" i="1"/>
  <c r="L91" i="1"/>
  <c r="L90" i="1"/>
  <c r="L89" i="1"/>
  <c r="L88" i="1"/>
  <c r="L87" i="1"/>
  <c r="L85" i="1"/>
  <c r="L83" i="1"/>
  <c r="L82" i="1"/>
  <c r="L81" i="1"/>
  <c r="L80" i="1"/>
  <c r="L79" i="1"/>
  <c r="L78" i="1"/>
  <c r="L77" i="1"/>
  <c r="L76" i="1"/>
  <c r="L75" i="1"/>
  <c r="L73" i="1"/>
  <c r="L71" i="1"/>
  <c r="L70" i="1"/>
  <c r="L69" i="1"/>
  <c r="L68" i="1"/>
  <c r="L67" i="1"/>
  <c r="L66" i="1"/>
  <c r="L65" i="1"/>
  <c r="L64" i="1"/>
  <c r="L63" i="1"/>
  <c r="L61" i="1"/>
  <c r="L59" i="1"/>
  <c r="L58" i="1"/>
  <c r="L57" i="1"/>
  <c r="L56" i="1"/>
  <c r="L55" i="1"/>
  <c r="L54" i="1"/>
  <c r="L53" i="1"/>
  <c r="L52" i="1"/>
  <c r="L51" i="1"/>
  <c r="L49" i="1"/>
  <c r="L47" i="1"/>
  <c r="L46" i="1"/>
  <c r="L45" i="1"/>
  <c r="L44" i="1"/>
  <c r="L43" i="1"/>
  <c r="L42" i="1"/>
  <c r="L41" i="1"/>
  <c r="L40" i="1"/>
  <c r="L39" i="1"/>
  <c r="L37" i="1"/>
  <c r="L35" i="1"/>
  <c r="L34" i="1"/>
  <c r="L33" i="1"/>
  <c r="L32" i="1"/>
  <c r="L31" i="1"/>
  <c r="L30" i="1"/>
  <c r="L29" i="1"/>
  <c r="L28" i="1"/>
  <c r="L27" i="1"/>
  <c r="L25" i="1"/>
  <c r="L24" i="1"/>
  <c r="L23" i="1"/>
  <c r="L22" i="1"/>
  <c r="L21" i="1"/>
  <c r="L20" i="1"/>
  <c r="L19" i="1"/>
  <c r="L18" i="1"/>
  <c r="L17" i="1"/>
  <c r="L16" i="1"/>
  <c r="L15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<sst xmlns="http://schemas.openxmlformats.org/spreadsheetml/2006/main" count="782" uniqueCount="542">
  <si>
    <t>geo</t>
  </si>
  <si>
    <t>name</t>
  </si>
  <si>
    <t>2019</t>
  </si>
  <si>
    <t>2020</t>
  </si>
  <si>
    <t>2021</t>
  </si>
  <si>
    <t>2022</t>
  </si>
  <si>
    <t>2023</t>
  </si>
  <si>
    <t>2024</t>
  </si>
  <si>
    <t>ago</t>
  </si>
  <si>
    <t>Angola</t>
  </si>
  <si>
    <t>42.7</t>
  </si>
  <si>
    <t>51.3</t>
  </si>
  <si>
    <t>alb</t>
  </si>
  <si>
    <t>Albania</t>
  </si>
  <si>
    <t>31.7</t>
  </si>
  <si>
    <t>30</t>
  </si>
  <si>
    <t>29</t>
  </si>
  <si>
    <t>34.6</t>
  </si>
  <si>
    <t>32.8</t>
  </si>
  <si>
    <t>33.7</t>
  </si>
  <si>
    <t>33.1</t>
  </si>
  <si>
    <t>30.1</t>
  </si>
  <si>
    <t>29.4</t>
  </si>
  <si>
    <t>are</t>
  </si>
  <si>
    <t>UAE</t>
  </si>
  <si>
    <t>26.4</t>
  </si>
  <si>
    <t>arg</t>
  </si>
  <si>
    <t>Argentina</t>
  </si>
  <si>
    <t>40.8</t>
  </si>
  <si>
    <t>46.8</t>
  </si>
  <si>
    <t>45.5</t>
  </si>
  <si>
    <t>48.9</t>
  </si>
  <si>
    <t>50.7</t>
  </si>
  <si>
    <t>49.8</t>
  </si>
  <si>
    <t>43.8</t>
  </si>
  <si>
    <t>43.7</t>
  </si>
  <si>
    <t>41.8</t>
  </si>
  <si>
    <t>41.7</t>
  </si>
  <si>
    <t>43.3</t>
  </si>
  <si>
    <t>42.4</t>
  </si>
  <si>
    <t>40.7</t>
  </si>
  <si>
    <t>arm</t>
  </si>
  <si>
    <t>Armenia</t>
  </si>
  <si>
    <t>44.4</t>
  </si>
  <si>
    <t>36.2</t>
  </si>
  <si>
    <t>35.4</t>
  </si>
  <si>
    <t>34.8</t>
  </si>
  <si>
    <t>33</t>
  </si>
  <si>
    <t>37.5</t>
  </si>
  <si>
    <t>36</t>
  </si>
  <si>
    <t>29.7</t>
  </si>
  <si>
    <t>31.2</t>
  </si>
  <si>
    <t>29.2</t>
  </si>
  <si>
    <t>28</t>
  </si>
  <si>
    <t>31.5</t>
  </si>
  <si>
    <t>32.4</t>
  </si>
  <si>
    <t>33.6</t>
  </si>
  <si>
    <t>34.4</t>
  </si>
  <si>
    <t>25.1</t>
  </si>
  <si>
    <t>27.9</t>
  </si>
  <si>
    <t>27.2</t>
  </si>
  <si>
    <t>aus</t>
  </si>
  <si>
    <t>Australia</t>
  </si>
  <si>
    <t>31.3</t>
  </si>
  <si>
    <t>33.2</t>
  </si>
  <si>
    <t>32.6</t>
  </si>
  <si>
    <t>33.5</t>
  </si>
  <si>
    <t>34.7</t>
  </si>
  <si>
    <t>34.3</t>
  </si>
  <si>
    <t>33.8</t>
  </si>
  <si>
    <t>aut</t>
  </si>
  <si>
    <t>Austria</t>
  </si>
  <si>
    <t>30.8</t>
  </si>
  <si>
    <t>29.9</t>
  </si>
  <si>
    <t>29.3</t>
  </si>
  <si>
    <t>29.1</t>
  </si>
  <si>
    <t>29.5</t>
  </si>
  <si>
    <t>29.8</t>
  </si>
  <si>
    <t>28.7</t>
  </si>
  <si>
    <t>30.3</t>
  </si>
  <si>
    <t>30.2</t>
  </si>
  <si>
    <t>30.7</t>
  </si>
  <si>
    <t>30.9</t>
  </si>
  <si>
    <t>aze</t>
  </si>
  <si>
    <t>Azerbaijan</t>
  </si>
  <si>
    <t>36.5</t>
  </si>
  <si>
    <t>25.3</t>
  </si>
  <si>
    <t>26.8</t>
  </si>
  <si>
    <t>26.6</t>
  </si>
  <si>
    <t>bdi</t>
  </si>
  <si>
    <t>Burundi</t>
  </si>
  <si>
    <t>42.1</t>
  </si>
  <si>
    <t>33.4</t>
  </si>
  <si>
    <t>bel</t>
  </si>
  <si>
    <t>Belgium</t>
  </si>
  <si>
    <t>25.7</t>
  </si>
  <si>
    <t>28.4</t>
  </si>
  <si>
    <t>27.5</t>
  </si>
  <si>
    <t>27.7</t>
  </si>
  <si>
    <t>27.4</t>
  </si>
  <si>
    <t>26</t>
  </si>
  <si>
    <t>ben</t>
  </si>
  <si>
    <t>Benin</t>
  </si>
  <si>
    <t>37.9</t>
  </si>
  <si>
    <t>bfa</t>
  </si>
  <si>
    <t>Burkina Faso</t>
  </si>
  <si>
    <t>39.8</t>
  </si>
  <si>
    <t>35.3</t>
  </si>
  <si>
    <t>43</t>
  </si>
  <si>
    <t>37.4</t>
  </si>
  <si>
    <t>bgd</t>
  </si>
  <si>
    <t>Bangladesh</t>
  </si>
  <si>
    <t>25.9</t>
  </si>
  <si>
    <t>26.9</t>
  </si>
  <si>
    <t>28.8</t>
  </si>
  <si>
    <t>32.9</t>
  </si>
  <si>
    <t>bgr</t>
  </si>
  <si>
    <t>Bulgaria</t>
  </si>
  <si>
    <t>24.3</t>
  </si>
  <si>
    <t>32.7</t>
  </si>
  <si>
    <t>28.9</t>
  </si>
  <si>
    <t>35.7</t>
  </si>
  <si>
    <t>36.1</t>
  </si>
  <si>
    <t>36.6</t>
  </si>
  <si>
    <t>40.6</t>
  </si>
  <si>
    <t>40.3</t>
  </si>
  <si>
    <t>40.5</t>
  </si>
  <si>
    <t>39</t>
  </si>
  <si>
    <t>38.2</t>
  </si>
  <si>
    <t>39.5</t>
  </si>
  <si>
    <t>bih</t>
  </si>
  <si>
    <t>Bosnia and Herzegovina</t>
  </si>
  <si>
    <t>34</t>
  </si>
  <si>
    <t>blr</t>
  </si>
  <si>
    <t>Belarus</t>
  </si>
  <si>
    <t>32</t>
  </si>
  <si>
    <t>26.5</t>
  </si>
  <si>
    <t>28.3</t>
  </si>
  <si>
    <t>27.8</t>
  </si>
  <si>
    <t>25.6</t>
  </si>
  <si>
    <t>24.4</t>
  </si>
  <si>
    <t>blz</t>
  </si>
  <si>
    <t>Belize</t>
  </si>
  <si>
    <t>39.9</t>
  </si>
  <si>
    <t>bol</t>
  </si>
  <si>
    <t>Bolivia</t>
  </si>
  <si>
    <t>49.2</t>
  </si>
  <si>
    <t>46.7</t>
  </si>
  <si>
    <t>45.2</t>
  </si>
  <si>
    <t>44.6</t>
  </si>
  <si>
    <t>41.6</t>
  </si>
  <si>
    <t>43.6</t>
  </si>
  <si>
    <t>40.9</t>
  </si>
  <si>
    <t>41.2</t>
  </si>
  <si>
    <t>bra</t>
  </si>
  <si>
    <t>Brazil</t>
  </si>
  <si>
    <t>52.9</t>
  </si>
  <si>
    <t>52</t>
  </si>
  <si>
    <t>53.9</t>
  </si>
  <si>
    <t>53.5</t>
  </si>
  <si>
    <t>51.6</t>
  </si>
  <si>
    <t>brb</t>
  </si>
  <si>
    <t>Barbados</t>
  </si>
  <si>
    <t>34.1</t>
  </si>
  <si>
    <t>btn</t>
  </si>
  <si>
    <t>Bhutan</t>
  </si>
  <si>
    <t>38.8</t>
  </si>
  <si>
    <t>28.5</t>
  </si>
  <si>
    <t>bwa</t>
  </si>
  <si>
    <t>Botswana</t>
  </si>
  <si>
    <t>caf</t>
  </si>
  <si>
    <t>Central African Republic</t>
  </si>
  <si>
    <t>can</t>
  </si>
  <si>
    <t>Canada</t>
  </si>
  <si>
    <t>34.9</t>
  </si>
  <si>
    <t>31</t>
  </si>
  <si>
    <t>31.4</t>
  </si>
  <si>
    <t>31.9</t>
  </si>
  <si>
    <t>31.6</t>
  </si>
  <si>
    <t>33.9</t>
  </si>
  <si>
    <t>31.1</t>
  </si>
  <si>
    <t>che</t>
  </si>
  <si>
    <t>Switzerland</t>
  </si>
  <si>
    <t>32.3</t>
  </si>
  <si>
    <t>chl</t>
  </si>
  <si>
    <t>Chile</t>
  </si>
  <si>
    <t>54.8</t>
  </si>
  <si>
    <t>51.5</t>
  </si>
  <si>
    <t>47</t>
  </si>
  <si>
    <t>chn</t>
  </si>
  <si>
    <t>China</t>
  </si>
  <si>
    <t>27.1</t>
  </si>
  <si>
    <t>35.2</t>
  </si>
  <si>
    <t>38.7</t>
  </si>
  <si>
    <t>42.2</t>
  </si>
  <si>
    <t>39.7</t>
  </si>
  <si>
    <t>39.2</t>
  </si>
  <si>
    <t>38.5</t>
  </si>
  <si>
    <t>37.1</t>
  </si>
  <si>
    <t>civ</t>
  </si>
  <si>
    <t>Cote d'Ivoire</t>
  </si>
  <si>
    <t>38</t>
  </si>
  <si>
    <t>39.4</t>
  </si>
  <si>
    <t>41.5</t>
  </si>
  <si>
    <t>cmr</t>
  </si>
  <si>
    <t>Cameroon</t>
  </si>
  <si>
    <t>cod</t>
  </si>
  <si>
    <t>Congo, Dem. Rep.</t>
  </si>
  <si>
    <t>44.7</t>
  </si>
  <si>
    <t>cog</t>
  </si>
  <si>
    <t>Congo, Rep.</t>
  </si>
  <si>
    <t>47.3</t>
  </si>
  <si>
    <t>col</t>
  </si>
  <si>
    <t>Colombia</t>
  </si>
  <si>
    <t>55.1</t>
  </si>
  <si>
    <t>49.7</t>
  </si>
  <si>
    <t>com</t>
  </si>
  <si>
    <t>Comoros</t>
  </si>
  <si>
    <t>cpv</t>
  </si>
  <si>
    <t>Cape Verde</t>
  </si>
  <si>
    <t>47.2</t>
  </si>
  <si>
    <t>cri</t>
  </si>
  <si>
    <t>Costa Rica</t>
  </si>
  <si>
    <t>45.7</t>
  </si>
  <si>
    <t>48.7</t>
  </si>
  <si>
    <t>48.2</t>
  </si>
  <si>
    <t>45.8</t>
  </si>
  <si>
    <t>cyp</t>
  </si>
  <si>
    <t>Cyprus</t>
  </si>
  <si>
    <t>37</t>
  </si>
  <si>
    <t>31.8</t>
  </si>
  <si>
    <t>cze</t>
  </si>
  <si>
    <t>Czech Republic</t>
  </si>
  <si>
    <t>26.2</t>
  </si>
  <si>
    <t>25</t>
  </si>
  <si>
    <t>deu</t>
  </si>
  <si>
    <t>Germany</t>
  </si>
  <si>
    <t>dji</t>
  </si>
  <si>
    <t>Djibouti</t>
  </si>
  <si>
    <t>40</t>
  </si>
  <si>
    <t>dnk</t>
  </si>
  <si>
    <t>Denmark</t>
  </si>
  <si>
    <t>24.7</t>
  </si>
  <si>
    <t>23.8</t>
  </si>
  <si>
    <t>dom</t>
  </si>
  <si>
    <t>Dominican Republic</t>
  </si>
  <si>
    <t>41.9</t>
  </si>
  <si>
    <t>39.6</t>
  </si>
  <si>
    <t>38.4</t>
  </si>
  <si>
    <t>dza</t>
  </si>
  <si>
    <t>Algeria</t>
  </si>
  <si>
    <t>ecu</t>
  </si>
  <si>
    <t>Ecuador</t>
  </si>
  <si>
    <t>49.6</t>
  </si>
  <si>
    <t>egy</t>
  </si>
  <si>
    <t>Egypt</t>
  </si>
  <si>
    <t>esp</t>
  </si>
  <si>
    <t>Spain</t>
  </si>
  <si>
    <t>34.5</t>
  </si>
  <si>
    <t>35.1</t>
  </si>
  <si>
    <t>34.2</t>
  </si>
  <si>
    <t>35.8</t>
  </si>
  <si>
    <t>est</t>
  </si>
  <si>
    <t>Estonia</t>
  </si>
  <si>
    <t>eth</t>
  </si>
  <si>
    <t>Ethiopia</t>
  </si>
  <si>
    <t>35</t>
  </si>
  <si>
    <t>fin</t>
  </si>
  <si>
    <t>Finland</t>
  </si>
  <si>
    <t>fji</t>
  </si>
  <si>
    <t>Fiji</t>
  </si>
  <si>
    <t>36.7</t>
  </si>
  <si>
    <t>fra</t>
  </si>
  <si>
    <t>France</t>
  </si>
  <si>
    <t>35.9</t>
  </si>
  <si>
    <t>fsm</t>
  </si>
  <si>
    <t>Micronesia, Fed. Sts.</t>
  </si>
  <si>
    <t>40.1</t>
  </si>
  <si>
    <t>gab</t>
  </si>
  <si>
    <t>Gabon</t>
  </si>
  <si>
    <t>gbr</t>
  </si>
  <si>
    <t>UK</t>
  </si>
  <si>
    <t>35.5</t>
  </si>
  <si>
    <t>36.8</t>
  </si>
  <si>
    <t>Georgia</t>
  </si>
  <si>
    <t>36.4</t>
  </si>
  <si>
    <t>gha</t>
  </si>
  <si>
    <t>Ghana</t>
  </si>
  <si>
    <t>43.5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</si>
  <si>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</si>
  <si>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</si>
  <si>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</si>
  <si>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</si>
  <si>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</si>
  <si>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</si>
  <si>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</si>
  <si>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</si>
  <si>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</si>
  <si>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</si>
  <si>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36.3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</si>
  <si>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</si>
  <si>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</si>
  <si>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</si>
  <si>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</si>
  <si>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</si>
  <si>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</si>
  <si>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</si>
  <si>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</si>
  <si>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</si>
  <si>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</si>
  <si>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</si>
  <si>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</si>
  <si>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</si>
  <si>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</si>
  <si>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</si>
  <si>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</si>
  <si>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</si>
  <si>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</si>
  <si>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25.5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</si>
  <si>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</si>
  <si>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</si>
  <si>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</si>
  <si>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</si>
  <si>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</si>
  <si>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</si>
  <si>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</si>
  <si>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</si>
  <si>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</si>
  <si>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</si>
  <si>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38.3</t>
  </si>
  <si>
    <t>37.8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</si>
  <si>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</si>
  <si>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</si>
  <si>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</si>
  <si>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</si>
  <si>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</si>
  <si>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</si>
  <si>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</si>
  <si>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</si>
  <si>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</si>
  <si>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</si>
  <si>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</si>
  <si>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</si>
  <si>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37.7</t>
  </si>
  <si>
    <t>kgz</t>
  </si>
  <si>
    <t>Kyrgyz Republic</t>
  </si>
  <si>
    <t>kir</t>
  </si>
  <si>
    <t>Kiribati</t>
  </si>
  <si>
    <t>kor</t>
  </si>
  <si>
    <t>South Korea</t>
  </si>
  <si>
    <t>lao</t>
  </si>
  <si>
    <t>Lao</t>
  </si>
  <si>
    <t>lbn</t>
  </si>
  <si>
    <t>Lebanon</t>
  </si>
  <si>
    <t>lbr</t>
  </si>
  <si>
    <t>Liberia</t>
  </si>
  <si>
    <t>lca</t>
  </si>
  <si>
    <t>St. Lucia</t>
  </si>
  <si>
    <t>lka</t>
  </si>
  <si>
    <t>Sri Lanka</t>
  </si>
  <si>
    <t>40.2</t>
  </si>
  <si>
    <t>39.3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</si>
  <si>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</si>
  <si>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</si>
  <si>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</si>
  <si>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</si>
  <si>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</si>
  <si>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</si>
  <si>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</si>
  <si>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</si>
  <si>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</si>
  <si>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</si>
  <si>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</si>
  <si>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</si>
  <si>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</si>
  <si>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</si>
  <si>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</si>
  <si>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</si>
  <si>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</si>
  <si>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</si>
  <si>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50.3</t>
  </si>
  <si>
    <t>50.9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</si>
  <si>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</si>
  <si>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</si>
  <si>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</si>
  <si>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</si>
  <si>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</si>
  <si>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</si>
  <si>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</si>
  <si>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</si>
  <si>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</si>
  <si>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</si>
  <si>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</si>
  <si>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</si>
  <si>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</si>
  <si>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</si>
  <si>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</si>
  <si>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</si>
  <si>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</si>
  <si>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</si>
  <si>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</si>
  <si>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</si>
  <si>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</si>
  <si>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</si>
  <si>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</si>
  <si>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</si>
  <si>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</si>
  <si>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</si>
  <si>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</si>
  <si>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</si>
  <si>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</si>
  <si>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</si>
  <si>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</si>
  <si>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</si>
  <si>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</si>
  <si>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</si>
  <si>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</si>
  <si>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</si>
  <si>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</si>
  <si>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</si>
  <si>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</si>
  <si>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</si>
  <si>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</si>
  <si>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</si>
  <si>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</si>
  <si>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</si>
  <si>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</si>
  <si>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</si>
  <si>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</si>
  <si>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</si>
  <si>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42.9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</si>
  <si>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</si>
  <si>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</si>
  <si>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</si>
  <si>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</si>
  <si>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</si>
  <si>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</si>
  <si>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</si>
  <si>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</si>
  <si>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44.2</t>
  </si>
  <si>
    <t>pse</t>
  </si>
  <si>
    <t>Palestine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</si>
  <si>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</si>
  <si>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</si>
  <si>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</si>
  <si>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</si>
  <si>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</si>
  <si>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</si>
  <si>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</si>
  <si>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</si>
  <si>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sdn</t>
  </si>
  <si>
    <t>Sudan</t>
  </si>
  <si>
    <t>sen</t>
  </si>
  <si>
    <t>Senegal</t>
  </si>
  <si>
    <t>slb</t>
  </si>
  <si>
    <t>Solomon Islands</t>
  </si>
  <si>
    <t>sle</t>
  </si>
  <si>
    <t>Sierra Leone</t>
  </si>
  <si>
    <t>slv</t>
  </si>
  <si>
    <t>El Salvador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</si>
  <si>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</si>
  <si>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</si>
  <si>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</si>
  <si>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</si>
  <si>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</si>
  <si>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</si>
  <si>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</si>
  <si>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</si>
  <si>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</si>
  <si>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</si>
  <si>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23.2</t>
  </si>
  <si>
    <t>24.2</t>
  </si>
  <si>
    <t>24.1</t>
  </si>
  <si>
    <t>svn</t>
  </si>
  <si>
    <t>Slovenia</t>
  </si>
  <si>
    <t>24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</si>
  <si>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</si>
  <si>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</si>
  <si>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</si>
  <si>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</si>
  <si>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</si>
  <si>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</si>
  <si>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</si>
  <si>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</si>
  <si>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</si>
  <si>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</si>
  <si>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</si>
  <si>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</si>
  <si>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</si>
  <si>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</si>
  <si>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</si>
  <si>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</si>
  <si>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</si>
  <si>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</si>
  <si>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</si>
  <si>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</si>
  <si>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</si>
  <si>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</si>
  <si>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</si>
  <si>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</si>
  <si>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</si>
  <si>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</si>
  <si>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</si>
  <si>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</si>
  <si>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44.5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</si>
  <si>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</si>
  <si>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</si>
  <si>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</si>
  <si>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</si>
  <si>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</si>
  <si>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</si>
  <si>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</si>
  <si>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</si>
  <si>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</si>
  <si>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</si>
  <si>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</si>
  <si>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USA</t>
  </si>
  <si>
    <t>uzb</t>
  </si>
  <si>
    <t>Uzbekistan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</si>
  <si>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</si>
  <si>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</si>
  <si>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</si>
  <si>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</si>
  <si>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</si>
  <si>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</si>
  <si>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</si>
  <si>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</si>
  <si>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</si>
  <si>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</si>
  <si>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</si>
  <si>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</si>
  <si>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</si>
  <si>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</si>
  <si>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</si>
  <si>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</si>
  <si>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Страна</t>
  </si>
  <si>
    <t>Позиция в таблице</t>
  </si>
  <si>
    <t>Данные за 2020</t>
  </si>
  <si>
    <t>kwt</t>
  </si>
  <si>
    <t>nzl</t>
  </si>
  <si>
    <t>sgp</t>
  </si>
  <si>
    <t>khm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</si>
</sst>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left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workbookViewId="0">
      <selection activeCell="J1" sqref="J1:L1048576"/>
    </sheetView>
  </sheetViews>
  <sheetFormatPr defaultRowHeight="15.75" x14ac:dyDescent="0.25"/>
  <cols>
    <col min="2" max="2" width="20.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535</v>
      </c>
      <c r="K1" t="s">
        <v>536</v>
      </c>
      <c r="L1" t="s">
        <v>537</v>
      </c>
    </row>
    <row r="2" spans="1:12" x14ac:dyDescent="0.25">
      <c r="A2" t="s">
        <v>8</v>
      </c>
      <c r="B2" t="s">
        <v>9</v>
      </c>
      <c r="J2" s="1" t="s">
        <v>538</v>
      </c>
      <c r="K2" t="e">
        <f>MATCH(J2,A$2:A$1048576,0)</f>
        <v>#N/A</v>
      </c>
      <c r="L2" t="e">
        <f>INDEX(D$2:D$1048576,K2,1)</f>
        <v>#N/A</v>
      </c>
    </row>
    <row r="3" spans="1:12" x14ac:dyDescent="0.25">
      <c r="A3" t="s">
        <v>12</v>
      </c>
      <c r="B3" t="s">
        <v>13</v>
      </c>
      <c r="C3" t="s">
        <v>21</v>
      </c>
      <c r="D3" t="s">
        <v>22</v>
      </c>
      <c r="J3" s="1" t="s">
        <v>327</v>
      </c>
      <c r="K3">
        <f t="shared" ref="K3:K66" si="0">MATCH(J3,A$2:A$1048576,0)</f>
        <v>74</v>
      </c>
      <c r="L3" t="str">
        <f t="shared" ref="L3:L66" si="1">INDEX(D$2:D$1048576,K3,1)</f>
        <v>37.8</v>
      </c>
    </row>
    <row r="4" spans="1:12" x14ac:dyDescent="0.25">
      <c r="A4" t="s">
        <v>23</v>
      </c>
      <c r="B4" t="s">
        <v>24</v>
      </c>
      <c r="J4" s="1" t="s">
        <v>144</v>
      </c>
      <c r="K4">
        <f t="shared" si="0"/>
        <v>18</v>
      </c>
      <c r="L4" t="str">
        <f t="shared" si="1"/>
        <v>43.6</v>
      </c>
    </row>
    <row r="5" spans="1:12" x14ac:dyDescent="0.25">
      <c r="A5" t="s">
        <v>26</v>
      </c>
      <c r="B5" t="s">
        <v>27</v>
      </c>
      <c r="C5" t="s">
        <v>38</v>
      </c>
      <c r="D5" t="s">
        <v>10</v>
      </c>
      <c r="E5" t="s">
        <v>39</v>
      </c>
      <c r="F5" t="s">
        <v>40</v>
      </c>
      <c r="G5" t="s">
        <v>39</v>
      </c>
      <c r="H5" t="s">
        <v>39</v>
      </c>
      <c r="J5" s="1" t="s">
        <v>154</v>
      </c>
      <c r="K5">
        <f t="shared" si="0"/>
        <v>19</v>
      </c>
      <c r="L5" t="str">
        <f t="shared" si="1"/>
        <v>48.9</v>
      </c>
    </row>
    <row r="6" spans="1:12" x14ac:dyDescent="0.25">
      <c r="A6" t="s">
        <v>41</v>
      </c>
      <c r="B6" t="s">
        <v>42</v>
      </c>
      <c r="C6" t="s">
        <v>15</v>
      </c>
      <c r="D6" t="s">
        <v>58</v>
      </c>
      <c r="E6" t="s">
        <v>59</v>
      </c>
      <c r="F6" t="s">
        <v>59</v>
      </c>
      <c r="G6" t="s">
        <v>60</v>
      </c>
      <c r="J6" s="1" t="s">
        <v>539</v>
      </c>
      <c r="K6" t="e">
        <f t="shared" si="0"/>
        <v>#N/A</v>
      </c>
      <c r="L6" t="e">
        <f t="shared" si="1"/>
        <v>#N/A</v>
      </c>
    </row>
    <row r="7" spans="1:12" x14ac:dyDescent="0.25">
      <c r="A7" t="s">
        <v>61</v>
      </c>
      <c r="B7" t="s">
        <v>62</v>
      </c>
      <c r="D7" t="s">
        <v>69</v>
      </c>
      <c r="J7" s="1" t="s">
        <v>335</v>
      </c>
      <c r="K7">
        <f t="shared" si="0"/>
        <v>77</v>
      </c>
      <c r="L7">
        <f t="shared" si="1"/>
        <v>0</v>
      </c>
    </row>
    <row r="8" spans="1:12" x14ac:dyDescent="0.25">
      <c r="A8" t="s">
        <v>70</v>
      </c>
      <c r="B8" t="s">
        <v>71</v>
      </c>
      <c r="C8" t="s">
        <v>80</v>
      </c>
      <c r="D8" t="s">
        <v>77</v>
      </c>
      <c r="E8" t="s">
        <v>81</v>
      </c>
      <c r="F8" t="s">
        <v>82</v>
      </c>
      <c r="G8" t="s">
        <v>51</v>
      </c>
      <c r="J8" s="1" t="s">
        <v>370</v>
      </c>
      <c r="K8">
        <f t="shared" si="0"/>
        <v>93</v>
      </c>
      <c r="L8">
        <f t="shared" si="1"/>
        <v>0</v>
      </c>
    </row>
    <row r="9" spans="1:12" x14ac:dyDescent="0.25">
      <c r="A9" t="s">
        <v>83</v>
      </c>
      <c r="B9" t="s">
        <v>84</v>
      </c>
      <c r="J9" s="1" t="s">
        <v>404</v>
      </c>
      <c r="K9">
        <f t="shared" si="0"/>
        <v>109</v>
      </c>
      <c r="L9">
        <f t="shared" si="1"/>
        <v>0</v>
      </c>
    </row>
    <row r="10" spans="1:12" x14ac:dyDescent="0.25">
      <c r="A10" t="s">
        <v>89</v>
      </c>
      <c r="B10" t="s">
        <v>90</v>
      </c>
      <c r="D10" t="s">
        <v>48</v>
      </c>
      <c r="J10" s="1" t="s">
        <v>533</v>
      </c>
      <c r="K10">
        <f t="shared" si="0"/>
        <v>170</v>
      </c>
      <c r="L10">
        <f t="shared" si="1"/>
        <v>0</v>
      </c>
    </row>
    <row r="11" spans="1:12" x14ac:dyDescent="0.25">
      <c r="A11" t="s">
        <v>93</v>
      </c>
      <c r="B11" t="s">
        <v>94</v>
      </c>
      <c r="C11" t="s">
        <v>60</v>
      </c>
      <c r="D11" t="s">
        <v>100</v>
      </c>
      <c r="E11" t="s">
        <v>88</v>
      </c>
      <c r="F11" t="s">
        <v>25</v>
      </c>
      <c r="G11" t="s">
        <v>87</v>
      </c>
      <c r="J11" s="1" t="s">
        <v>521</v>
      </c>
      <c r="K11">
        <f t="shared" si="0"/>
        <v>164</v>
      </c>
      <c r="L11" t="str">
        <f t="shared" si="1"/>
        <v>36.8</v>
      </c>
    </row>
    <row r="12" spans="1:12" x14ac:dyDescent="0.25">
      <c r="A12" t="s">
        <v>101</v>
      </c>
      <c r="B12" t="s">
        <v>102</v>
      </c>
      <c r="E12" t="s">
        <v>57</v>
      </c>
      <c r="J12" s="1" t="s">
        <v>488</v>
      </c>
      <c r="K12">
        <f t="shared" si="0"/>
        <v>148</v>
      </c>
      <c r="L12" t="str">
        <f t="shared" si="1"/>
        <v>35</v>
      </c>
    </row>
    <row r="13" spans="1:12" x14ac:dyDescent="0.25">
      <c r="A13" t="s">
        <v>104</v>
      </c>
      <c r="B13" t="s">
        <v>105</v>
      </c>
      <c r="E13" t="s">
        <v>109</v>
      </c>
      <c r="J13" s="1" t="s">
        <v>540</v>
      </c>
      <c r="K13" t="e">
        <f t="shared" si="0"/>
        <v>#N/A</v>
      </c>
      <c r="L13" t="e">
        <f t="shared" si="1"/>
        <v>#N/A</v>
      </c>
    </row>
    <row r="14" spans="1:12" x14ac:dyDescent="0.25">
      <c r="A14" t="s">
        <v>110</v>
      </c>
      <c r="B14" t="s">
        <v>111</v>
      </c>
      <c r="F14" t="s">
        <v>82</v>
      </c>
      <c r="J14" s="1" t="s">
        <v>400</v>
      </c>
      <c r="K14">
        <f t="shared" si="0"/>
        <v>107</v>
      </c>
      <c r="L14">
        <f t="shared" si="1"/>
        <v>0</v>
      </c>
    </row>
    <row r="15" spans="1:12" x14ac:dyDescent="0.25">
      <c r="A15" t="s">
        <v>116</v>
      </c>
      <c r="B15" t="s">
        <v>117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J15" s="1" t="s">
        <v>517</v>
      </c>
      <c r="K15">
        <f t="shared" si="0"/>
        <v>162</v>
      </c>
      <c r="L15">
        <f t="shared" si="1"/>
        <v>0</v>
      </c>
    </row>
    <row r="16" spans="1:12" x14ac:dyDescent="0.25">
      <c r="A16" t="s">
        <v>130</v>
      </c>
      <c r="B16" t="s">
        <v>131</v>
      </c>
      <c r="J16" s="1" t="s">
        <v>348</v>
      </c>
      <c r="K16">
        <f t="shared" si="0"/>
        <v>83</v>
      </c>
      <c r="L16" t="str">
        <f t="shared" si="1"/>
        <v>32.7</v>
      </c>
    </row>
    <row r="17" spans="1:12" x14ac:dyDescent="0.25">
      <c r="A17" t="s">
        <v>133</v>
      </c>
      <c r="B17" t="s">
        <v>134</v>
      </c>
      <c r="C17" t="s">
        <v>86</v>
      </c>
      <c r="D17" t="s">
        <v>140</v>
      </c>
      <c r="J17" s="1" t="s">
        <v>456</v>
      </c>
      <c r="K17">
        <f t="shared" si="0"/>
        <v>134</v>
      </c>
      <c r="L17">
        <f t="shared" si="1"/>
        <v>0</v>
      </c>
    </row>
    <row r="18" spans="1:12" x14ac:dyDescent="0.25">
      <c r="A18" t="s">
        <v>141</v>
      </c>
      <c r="B18" t="s">
        <v>142</v>
      </c>
      <c r="J18" s="1" t="s">
        <v>507</v>
      </c>
      <c r="K18">
        <f t="shared" si="0"/>
        <v>157</v>
      </c>
      <c r="L18">
        <f t="shared" si="1"/>
        <v>0</v>
      </c>
    </row>
    <row r="19" spans="1:12" x14ac:dyDescent="0.25">
      <c r="A19" t="s">
        <v>144</v>
      </c>
      <c r="B19" t="s">
        <v>145</v>
      </c>
      <c r="C19" t="s">
        <v>150</v>
      </c>
      <c r="D19" t="s">
        <v>151</v>
      </c>
      <c r="E19" t="s">
        <v>152</v>
      </c>
      <c r="F19" t="s">
        <v>153</v>
      </c>
      <c r="G19" t="s">
        <v>91</v>
      </c>
      <c r="J19" s="1" t="s">
        <v>189</v>
      </c>
      <c r="K19">
        <f t="shared" si="0"/>
        <v>27</v>
      </c>
      <c r="L19" t="str">
        <f t="shared" si="1"/>
        <v>37.1</v>
      </c>
    </row>
    <row r="20" spans="1:12" x14ac:dyDescent="0.25">
      <c r="A20" t="s">
        <v>154</v>
      </c>
      <c r="B20" t="s">
        <v>155</v>
      </c>
      <c r="C20" t="s">
        <v>159</v>
      </c>
      <c r="D20" t="s">
        <v>31</v>
      </c>
      <c r="E20" t="s">
        <v>156</v>
      </c>
      <c r="F20" t="s">
        <v>157</v>
      </c>
      <c r="G20" t="s">
        <v>160</v>
      </c>
      <c r="J20" s="1" t="s">
        <v>448</v>
      </c>
      <c r="K20">
        <f t="shared" si="0"/>
        <v>130</v>
      </c>
      <c r="L20">
        <f t="shared" si="1"/>
        <v>0</v>
      </c>
    </row>
    <row r="21" spans="1:12" x14ac:dyDescent="0.25">
      <c r="A21" t="s">
        <v>161</v>
      </c>
      <c r="B21" t="s">
        <v>162</v>
      </c>
      <c r="J21" s="1" t="s">
        <v>410</v>
      </c>
      <c r="K21">
        <f t="shared" si="0"/>
        <v>112</v>
      </c>
      <c r="L21">
        <f t="shared" si="1"/>
        <v>0</v>
      </c>
    </row>
    <row r="22" spans="1:12" x14ac:dyDescent="0.25">
      <c r="A22" t="s">
        <v>164</v>
      </c>
      <c r="B22" t="s">
        <v>165</v>
      </c>
      <c r="F22" t="s">
        <v>167</v>
      </c>
      <c r="J22" s="1" t="s">
        <v>289</v>
      </c>
      <c r="K22">
        <f t="shared" si="0"/>
        <v>56</v>
      </c>
      <c r="L22">
        <f t="shared" si="1"/>
        <v>0</v>
      </c>
    </row>
    <row r="23" spans="1:12" x14ac:dyDescent="0.25">
      <c r="A23" t="s">
        <v>168</v>
      </c>
      <c r="B23" t="s">
        <v>169</v>
      </c>
      <c r="J23" s="1" t="s">
        <v>374</v>
      </c>
      <c r="K23">
        <f t="shared" si="0"/>
        <v>95</v>
      </c>
      <c r="L23">
        <f t="shared" si="1"/>
        <v>0</v>
      </c>
    </row>
    <row r="24" spans="1:12" x14ac:dyDescent="0.25">
      <c r="A24" t="s">
        <v>170</v>
      </c>
      <c r="B24" t="s">
        <v>171</v>
      </c>
      <c r="E24" t="s">
        <v>108</v>
      </c>
      <c r="J24" s="1" t="s">
        <v>101</v>
      </c>
      <c r="K24">
        <f t="shared" si="0"/>
        <v>11</v>
      </c>
      <c r="L24">
        <f t="shared" si="1"/>
        <v>0</v>
      </c>
    </row>
    <row r="25" spans="1:12" x14ac:dyDescent="0.25">
      <c r="A25" t="s">
        <v>172</v>
      </c>
      <c r="B25" t="s">
        <v>173</v>
      </c>
      <c r="C25" t="s">
        <v>14</v>
      </c>
      <c r="D25" t="s">
        <v>73</v>
      </c>
      <c r="E25" t="s">
        <v>180</v>
      </c>
      <c r="J25" s="1" t="s">
        <v>286</v>
      </c>
      <c r="K25">
        <f t="shared" si="0"/>
        <v>55</v>
      </c>
      <c r="L25">
        <f t="shared" si="1"/>
        <v>0</v>
      </c>
    </row>
    <row r="26" spans="1:12" x14ac:dyDescent="0.25">
      <c r="A26" t="s">
        <v>181</v>
      </c>
      <c r="B26" t="s">
        <v>182</v>
      </c>
      <c r="C26" t="s">
        <v>132</v>
      </c>
      <c r="D26" t="s">
        <v>19</v>
      </c>
      <c r="E26" t="s">
        <v>69</v>
      </c>
      <c r="F26" t="s">
        <v>69</v>
      </c>
      <c r="J26" s="1" t="s">
        <v>531</v>
      </c>
      <c r="K26">
        <f t="shared" si="0"/>
        <v>169</v>
      </c>
      <c r="L26">
        <f t="shared" si="1"/>
        <v>0</v>
      </c>
    </row>
    <row r="27" spans="1:12" x14ac:dyDescent="0.25">
      <c r="A27" t="s">
        <v>184</v>
      </c>
      <c r="B27" t="s">
        <v>185</v>
      </c>
      <c r="D27" t="s">
        <v>188</v>
      </c>
      <c r="F27" t="s">
        <v>108</v>
      </c>
      <c r="J27" s="1" t="s">
        <v>478</v>
      </c>
      <c r="K27">
        <f t="shared" si="0"/>
        <v>143</v>
      </c>
      <c r="L27">
        <f t="shared" si="1"/>
        <v>0</v>
      </c>
    </row>
    <row r="28" spans="1:12" x14ac:dyDescent="0.25">
      <c r="A28" t="s">
        <v>189</v>
      </c>
      <c r="B28" t="s">
        <v>190</v>
      </c>
      <c r="C28" t="s">
        <v>128</v>
      </c>
      <c r="D28" t="s">
        <v>198</v>
      </c>
      <c r="E28" t="s">
        <v>121</v>
      </c>
      <c r="F28" t="s">
        <v>49</v>
      </c>
      <c r="J28" s="1" t="s">
        <v>216</v>
      </c>
      <c r="K28">
        <f t="shared" si="0"/>
        <v>33</v>
      </c>
      <c r="L28">
        <f t="shared" si="1"/>
        <v>0</v>
      </c>
    </row>
    <row r="29" spans="1:12" x14ac:dyDescent="0.25">
      <c r="A29" t="s">
        <v>199</v>
      </c>
      <c r="B29" t="s">
        <v>200</v>
      </c>
      <c r="E29" t="s">
        <v>107</v>
      </c>
      <c r="J29" s="1" t="s">
        <v>133</v>
      </c>
      <c r="K29">
        <f t="shared" si="0"/>
        <v>16</v>
      </c>
      <c r="L29" t="str">
        <f t="shared" si="1"/>
        <v>24.4</v>
      </c>
    </row>
    <row r="30" spans="1:12" x14ac:dyDescent="0.25">
      <c r="A30" t="s">
        <v>204</v>
      </c>
      <c r="B30" t="s">
        <v>205</v>
      </c>
      <c r="E30" t="s">
        <v>194</v>
      </c>
      <c r="J30" s="1" t="s">
        <v>26</v>
      </c>
      <c r="K30">
        <f t="shared" si="0"/>
        <v>4</v>
      </c>
      <c r="L30" t="str">
        <f t="shared" si="1"/>
        <v>42.7</v>
      </c>
    </row>
    <row r="31" spans="1:12" x14ac:dyDescent="0.25">
      <c r="A31" t="s">
        <v>206</v>
      </c>
      <c r="B31" t="s">
        <v>207</v>
      </c>
      <c r="D31" t="s">
        <v>208</v>
      </c>
      <c r="J31" s="1" t="s">
        <v>412</v>
      </c>
      <c r="K31">
        <f t="shared" si="0"/>
        <v>113</v>
      </c>
      <c r="L31">
        <f t="shared" si="1"/>
        <v>0</v>
      </c>
    </row>
    <row r="32" spans="1:12" x14ac:dyDescent="0.25">
      <c r="A32" t="s">
        <v>209</v>
      </c>
      <c r="B32" t="s">
        <v>210</v>
      </c>
      <c r="J32" s="1" t="s">
        <v>341</v>
      </c>
      <c r="K32">
        <f t="shared" si="0"/>
        <v>80</v>
      </c>
      <c r="L32" t="str">
        <f t="shared" si="1"/>
        <v>36.2</v>
      </c>
    </row>
    <row r="33" spans="1:12" x14ac:dyDescent="0.25">
      <c r="A33" t="s">
        <v>212</v>
      </c>
      <c r="B33" t="s">
        <v>213</v>
      </c>
      <c r="C33" t="s">
        <v>11</v>
      </c>
      <c r="D33" t="s">
        <v>159</v>
      </c>
      <c r="E33" t="s">
        <v>214</v>
      </c>
      <c r="F33" t="s">
        <v>186</v>
      </c>
      <c r="G33" t="s">
        <v>158</v>
      </c>
      <c r="J33" s="1" t="s">
        <v>362</v>
      </c>
      <c r="K33">
        <f t="shared" si="0"/>
        <v>89</v>
      </c>
      <c r="L33">
        <f t="shared" si="1"/>
        <v>0</v>
      </c>
    </row>
    <row r="34" spans="1:12" x14ac:dyDescent="0.25">
      <c r="A34" t="s">
        <v>216</v>
      </c>
      <c r="B34" t="s">
        <v>217</v>
      </c>
      <c r="J34" s="1" t="s">
        <v>244</v>
      </c>
      <c r="K34">
        <f t="shared" si="0"/>
        <v>41</v>
      </c>
      <c r="L34" t="str">
        <f t="shared" si="1"/>
        <v>39.6</v>
      </c>
    </row>
    <row r="35" spans="1:12" x14ac:dyDescent="0.25">
      <c r="A35" t="s">
        <v>218</v>
      </c>
      <c r="B35" t="s">
        <v>219</v>
      </c>
      <c r="J35" s="1" t="s">
        <v>378</v>
      </c>
      <c r="K35">
        <f t="shared" si="0"/>
        <v>97</v>
      </c>
      <c r="L35" t="str">
        <f t="shared" si="1"/>
        <v>44.6</v>
      </c>
    </row>
    <row r="36" spans="1:12" x14ac:dyDescent="0.25">
      <c r="A36" t="s">
        <v>221</v>
      </c>
      <c r="B36" t="s">
        <v>222</v>
      </c>
      <c r="C36" t="s">
        <v>225</v>
      </c>
      <c r="D36" t="s">
        <v>146</v>
      </c>
      <c r="E36" t="s">
        <v>224</v>
      </c>
      <c r="F36" t="s">
        <v>220</v>
      </c>
      <c r="G36" t="s">
        <v>147</v>
      </c>
      <c r="H36" t="s">
        <v>226</v>
      </c>
      <c r="J36" s="1" t="s">
        <v>511</v>
      </c>
      <c r="K36">
        <f t="shared" si="0"/>
        <v>159</v>
      </c>
      <c r="L36" t="str">
        <f t="shared" si="1"/>
        <v>25.6</v>
      </c>
    </row>
    <row r="37" spans="1:12" x14ac:dyDescent="0.25">
      <c r="A37" t="s">
        <v>227</v>
      </c>
      <c r="B37" t="s">
        <v>228</v>
      </c>
      <c r="C37" t="s">
        <v>51</v>
      </c>
      <c r="D37" t="s">
        <v>14</v>
      </c>
      <c r="E37" t="s">
        <v>63</v>
      </c>
      <c r="F37" t="s">
        <v>54</v>
      </c>
      <c r="G37" t="s">
        <v>230</v>
      </c>
      <c r="J37" s="1" t="s">
        <v>344</v>
      </c>
      <c r="K37">
        <f t="shared" si="0"/>
        <v>81</v>
      </c>
      <c r="L37" t="str">
        <f t="shared" si="1"/>
        <v>29</v>
      </c>
    </row>
    <row r="38" spans="1:12" x14ac:dyDescent="0.25">
      <c r="A38" t="s">
        <v>231</v>
      </c>
      <c r="B38" t="s">
        <v>232</v>
      </c>
      <c r="C38" t="s">
        <v>86</v>
      </c>
      <c r="D38" t="s">
        <v>233</v>
      </c>
      <c r="E38" t="s">
        <v>233</v>
      </c>
      <c r="F38" t="s">
        <v>112</v>
      </c>
      <c r="G38" t="s">
        <v>95</v>
      </c>
      <c r="J38" s="1" t="s">
        <v>314</v>
      </c>
      <c r="K38">
        <f t="shared" si="0"/>
        <v>68</v>
      </c>
      <c r="L38" t="str">
        <f t="shared" si="1"/>
        <v>35.3</v>
      </c>
    </row>
    <row r="39" spans="1:12" x14ac:dyDescent="0.25">
      <c r="A39" t="s">
        <v>235</v>
      </c>
      <c r="B39" t="s">
        <v>236</v>
      </c>
      <c r="C39" t="s">
        <v>230</v>
      </c>
      <c r="D39" t="s">
        <v>55</v>
      </c>
      <c r="J39" s="1" t="s">
        <v>444</v>
      </c>
      <c r="K39">
        <f t="shared" si="0"/>
        <v>128</v>
      </c>
      <c r="L39" t="str">
        <f t="shared" si="1"/>
        <v>34.6</v>
      </c>
    </row>
    <row r="40" spans="1:12" x14ac:dyDescent="0.25">
      <c r="A40" t="s">
        <v>237</v>
      </c>
      <c r="B40" t="s">
        <v>238</v>
      </c>
      <c r="J40" s="1" t="s">
        <v>104</v>
      </c>
      <c r="K40">
        <f t="shared" si="0"/>
        <v>12</v>
      </c>
      <c r="L40">
        <f t="shared" si="1"/>
        <v>0</v>
      </c>
    </row>
    <row r="41" spans="1:12" x14ac:dyDescent="0.25">
      <c r="A41" t="s">
        <v>240</v>
      </c>
      <c r="B41" t="s">
        <v>241</v>
      </c>
      <c r="C41" t="s">
        <v>98</v>
      </c>
      <c r="D41" t="s">
        <v>97</v>
      </c>
      <c r="E41" t="s">
        <v>137</v>
      </c>
      <c r="F41" t="s">
        <v>74</v>
      </c>
      <c r="G41" t="s">
        <v>73</v>
      </c>
      <c r="J41" s="1" t="s">
        <v>251</v>
      </c>
      <c r="K41">
        <f t="shared" si="0"/>
        <v>43</v>
      </c>
      <c r="L41" t="str">
        <f t="shared" si="1"/>
        <v>47.3</v>
      </c>
    </row>
    <row r="42" spans="1:12" x14ac:dyDescent="0.25">
      <c r="A42" t="s">
        <v>244</v>
      </c>
      <c r="B42" t="s">
        <v>245</v>
      </c>
      <c r="C42" t="s">
        <v>246</v>
      </c>
      <c r="D42" t="s">
        <v>247</v>
      </c>
      <c r="E42" t="s">
        <v>197</v>
      </c>
      <c r="F42" t="s">
        <v>229</v>
      </c>
      <c r="G42" t="s">
        <v>248</v>
      </c>
      <c r="H42" t="s">
        <v>127</v>
      </c>
      <c r="J42" s="1" t="s">
        <v>168</v>
      </c>
      <c r="K42">
        <f t="shared" si="0"/>
        <v>22</v>
      </c>
      <c r="L42">
        <f t="shared" si="1"/>
        <v>0</v>
      </c>
    </row>
    <row r="43" spans="1:12" x14ac:dyDescent="0.25">
      <c r="A43" t="s">
        <v>249</v>
      </c>
      <c r="B43" t="s">
        <v>250</v>
      </c>
      <c r="J43" s="1" t="s">
        <v>291</v>
      </c>
      <c r="K43">
        <f t="shared" si="0"/>
        <v>57</v>
      </c>
      <c r="L43" t="str">
        <f t="shared" si="1"/>
        <v>38.8</v>
      </c>
    </row>
    <row r="44" spans="1:12" x14ac:dyDescent="0.25">
      <c r="A44" t="s">
        <v>251</v>
      </c>
      <c r="B44" t="s">
        <v>252</v>
      </c>
      <c r="C44" t="s">
        <v>223</v>
      </c>
      <c r="D44" t="s">
        <v>211</v>
      </c>
      <c r="E44" t="s">
        <v>226</v>
      </c>
      <c r="F44" t="s">
        <v>30</v>
      </c>
      <c r="G44" t="s">
        <v>149</v>
      </c>
      <c r="H44" t="s">
        <v>148</v>
      </c>
      <c r="J44" s="1" t="s">
        <v>372</v>
      </c>
      <c r="K44">
        <f t="shared" si="0"/>
        <v>94</v>
      </c>
      <c r="L44" t="str">
        <f t="shared" si="1"/>
        <v>25</v>
      </c>
    </row>
    <row r="45" spans="1:12" x14ac:dyDescent="0.25">
      <c r="A45" t="s">
        <v>254</v>
      </c>
      <c r="B45" t="s">
        <v>255</v>
      </c>
      <c r="C45" t="s">
        <v>177</v>
      </c>
      <c r="E45" t="s">
        <v>167</v>
      </c>
      <c r="J45" s="1" t="s">
        <v>437</v>
      </c>
      <c r="K45">
        <f t="shared" si="0"/>
        <v>125</v>
      </c>
      <c r="L45" t="str">
        <f t="shared" si="1"/>
        <v>43.5</v>
      </c>
    </row>
    <row r="46" spans="1:12" x14ac:dyDescent="0.25">
      <c r="A46" t="s">
        <v>256</v>
      </c>
      <c r="B46" t="s">
        <v>257</v>
      </c>
      <c r="C46" t="s">
        <v>68</v>
      </c>
      <c r="D46" t="s">
        <v>174</v>
      </c>
      <c r="E46" t="s">
        <v>179</v>
      </c>
      <c r="F46" t="s">
        <v>56</v>
      </c>
      <c r="G46" t="s">
        <v>92</v>
      </c>
      <c r="J46" s="1" t="s">
        <v>41</v>
      </c>
      <c r="K46">
        <f t="shared" si="0"/>
        <v>5</v>
      </c>
      <c r="L46" t="str">
        <f t="shared" si="1"/>
        <v>25.1</v>
      </c>
    </row>
    <row r="47" spans="1:12" x14ac:dyDescent="0.25">
      <c r="A47" t="s">
        <v>262</v>
      </c>
      <c r="B47" t="s">
        <v>263</v>
      </c>
      <c r="C47" t="s">
        <v>72</v>
      </c>
      <c r="D47" t="s">
        <v>81</v>
      </c>
      <c r="E47" t="s">
        <v>230</v>
      </c>
      <c r="F47" t="s">
        <v>183</v>
      </c>
      <c r="G47" t="s">
        <v>81</v>
      </c>
      <c r="J47" s="1" t="s">
        <v>422</v>
      </c>
      <c r="K47">
        <f t="shared" si="0"/>
        <v>118</v>
      </c>
      <c r="L47">
        <f t="shared" si="1"/>
        <v>0</v>
      </c>
    </row>
    <row r="48" spans="1:12" x14ac:dyDescent="0.25">
      <c r="A48" t="s">
        <v>264</v>
      </c>
      <c r="B48" t="s">
        <v>265</v>
      </c>
      <c r="E48" t="s">
        <v>180</v>
      </c>
      <c r="J48" s="1" t="s">
        <v>221</v>
      </c>
      <c r="K48">
        <f t="shared" si="0"/>
        <v>35</v>
      </c>
      <c r="L48" t="str">
        <f t="shared" si="1"/>
        <v>49.2</v>
      </c>
    </row>
    <row r="49" spans="1:12" x14ac:dyDescent="0.25">
      <c r="A49" t="s">
        <v>267</v>
      </c>
      <c r="B49" t="s">
        <v>268</v>
      </c>
      <c r="C49" t="s">
        <v>98</v>
      </c>
      <c r="D49" t="s">
        <v>191</v>
      </c>
      <c r="E49" t="s">
        <v>98</v>
      </c>
      <c r="F49" t="s">
        <v>59</v>
      </c>
      <c r="G49" t="s">
        <v>99</v>
      </c>
      <c r="J49" s="1" t="s">
        <v>110</v>
      </c>
      <c r="K49">
        <f t="shared" si="0"/>
        <v>13</v>
      </c>
      <c r="L49">
        <f t="shared" si="1"/>
        <v>0</v>
      </c>
    </row>
    <row r="50" spans="1:12" x14ac:dyDescent="0.25">
      <c r="A50" t="s">
        <v>269</v>
      </c>
      <c r="B50" t="s">
        <v>270</v>
      </c>
      <c r="C50" t="s">
        <v>81</v>
      </c>
      <c r="J50" s="1" t="s">
        <v>212</v>
      </c>
      <c r="K50">
        <f t="shared" si="0"/>
        <v>32</v>
      </c>
      <c r="L50" t="str">
        <f t="shared" si="1"/>
        <v>53.5</v>
      </c>
    </row>
    <row r="51" spans="1:12" x14ac:dyDescent="0.25">
      <c r="A51" t="s">
        <v>272</v>
      </c>
      <c r="B51" t="s">
        <v>273</v>
      </c>
      <c r="C51" t="s">
        <v>51</v>
      </c>
      <c r="D51" t="s">
        <v>81</v>
      </c>
      <c r="E51" t="s">
        <v>54</v>
      </c>
      <c r="F51" t="s">
        <v>51</v>
      </c>
      <c r="G51" t="s">
        <v>230</v>
      </c>
      <c r="J51" s="1" t="s">
        <v>396</v>
      </c>
      <c r="K51">
        <f t="shared" si="0"/>
        <v>105</v>
      </c>
      <c r="L51">
        <f t="shared" si="1"/>
        <v>0</v>
      </c>
    </row>
    <row r="52" spans="1:12" x14ac:dyDescent="0.25">
      <c r="A52" t="s">
        <v>275</v>
      </c>
      <c r="B52" t="s">
        <v>276</v>
      </c>
      <c r="J52" s="1" t="s">
        <v>513</v>
      </c>
      <c r="K52">
        <f t="shared" si="0"/>
        <v>160</v>
      </c>
      <c r="L52" t="str">
        <f t="shared" si="1"/>
        <v>40.2</v>
      </c>
    </row>
    <row r="53" spans="1:12" x14ac:dyDescent="0.25">
      <c r="A53" t="s">
        <v>278</v>
      </c>
      <c r="B53" t="s">
        <v>279</v>
      </c>
      <c r="J53" s="1" t="s">
        <v>392</v>
      </c>
      <c r="K53">
        <f t="shared" si="0"/>
        <v>103</v>
      </c>
      <c r="L53" t="str">
        <f t="shared" si="1"/>
        <v>35.4</v>
      </c>
    </row>
    <row r="54" spans="1:12" x14ac:dyDescent="0.25">
      <c r="A54" t="s">
        <v>280</v>
      </c>
      <c r="B54" t="s">
        <v>281</v>
      </c>
      <c r="C54" t="s">
        <v>18</v>
      </c>
      <c r="D54" t="s">
        <v>65</v>
      </c>
      <c r="E54" t="s">
        <v>55</v>
      </c>
      <c r="J54" s="1" t="s">
        <v>0</v>
      </c>
      <c r="K54">
        <f t="shared" si="0"/>
        <v>54</v>
      </c>
      <c r="L54" t="str">
        <f t="shared" si="1"/>
        <v>34.5</v>
      </c>
    </row>
    <row r="55" spans="1:12" x14ac:dyDescent="0.25">
      <c r="A55" t="s">
        <v>0</v>
      </c>
      <c r="B55" t="s">
        <v>284</v>
      </c>
      <c r="C55" t="s">
        <v>274</v>
      </c>
      <c r="D55" t="s">
        <v>258</v>
      </c>
      <c r="E55" t="s">
        <v>260</v>
      </c>
      <c r="F55" t="s">
        <v>66</v>
      </c>
      <c r="G55" t="s">
        <v>46</v>
      </c>
      <c r="H55" t="s">
        <v>179</v>
      </c>
      <c r="J55" s="1" t="s">
        <v>302</v>
      </c>
      <c r="K55">
        <f t="shared" si="0"/>
        <v>62</v>
      </c>
      <c r="L55">
        <f t="shared" si="1"/>
        <v>0</v>
      </c>
    </row>
    <row r="56" spans="1:12" x14ac:dyDescent="0.25">
      <c r="A56" t="s">
        <v>286</v>
      </c>
      <c r="B56" t="s">
        <v>287</v>
      </c>
      <c r="J56" s="1" t="s">
        <v>384</v>
      </c>
      <c r="K56">
        <f t="shared" si="0"/>
        <v>99</v>
      </c>
      <c r="L56">
        <f t="shared" si="1"/>
        <v>0</v>
      </c>
    </row>
    <row r="57" spans="1:12" x14ac:dyDescent="0.25">
      <c r="A57" t="s">
        <v>289</v>
      </c>
      <c r="B57" t="s">
        <v>290</v>
      </c>
      <c r="J57" s="1" t="s">
        <v>394</v>
      </c>
      <c r="K57">
        <f t="shared" si="0"/>
        <v>104</v>
      </c>
      <c r="L57">
        <f t="shared" si="1"/>
        <v>0</v>
      </c>
    </row>
    <row r="58" spans="1:12" x14ac:dyDescent="0.25">
      <c r="A58" t="s">
        <v>291</v>
      </c>
      <c r="B58" t="s">
        <v>292</v>
      </c>
      <c r="D58" t="s">
        <v>166</v>
      </c>
      <c r="J58" s="1" t="s">
        <v>502</v>
      </c>
      <c r="K58">
        <f t="shared" si="0"/>
        <v>155</v>
      </c>
      <c r="L58" t="str">
        <f t="shared" si="1"/>
        <v>43</v>
      </c>
    </row>
    <row r="59" spans="1:12" x14ac:dyDescent="0.25">
      <c r="A59" t="s">
        <v>293</v>
      </c>
      <c r="B59" t="s">
        <v>294</v>
      </c>
      <c r="E59" t="s">
        <v>92</v>
      </c>
      <c r="J59" s="1" t="s">
        <v>312</v>
      </c>
      <c r="K59">
        <f t="shared" si="0"/>
        <v>67</v>
      </c>
      <c r="L59">
        <f t="shared" si="1"/>
        <v>0</v>
      </c>
    </row>
    <row r="60" spans="1:12" x14ac:dyDescent="0.25">
      <c r="A60" t="s">
        <v>295</v>
      </c>
      <c r="B60" t="s">
        <v>296</v>
      </c>
      <c r="F60" t="s">
        <v>197</v>
      </c>
      <c r="J60" s="1" t="s">
        <v>390</v>
      </c>
      <c r="K60">
        <f t="shared" si="0"/>
        <v>102</v>
      </c>
      <c r="L60">
        <f t="shared" si="1"/>
        <v>0</v>
      </c>
    </row>
    <row r="61" spans="1:12" x14ac:dyDescent="0.25">
      <c r="A61" t="s">
        <v>297</v>
      </c>
      <c r="B61" t="s">
        <v>298</v>
      </c>
      <c r="C61" t="s">
        <v>20</v>
      </c>
      <c r="D61" t="s">
        <v>56</v>
      </c>
      <c r="E61" t="s">
        <v>115</v>
      </c>
      <c r="F61" t="s">
        <v>92</v>
      </c>
      <c r="G61" t="s">
        <v>92</v>
      </c>
      <c r="J61" s="1" t="s">
        <v>446</v>
      </c>
      <c r="K61">
        <f t="shared" si="0"/>
        <v>129</v>
      </c>
      <c r="L61" t="str">
        <f t="shared" si="1"/>
        <v>33.7</v>
      </c>
    </row>
    <row r="62" spans="1:12" x14ac:dyDescent="0.25">
      <c r="A62" t="s">
        <v>300</v>
      </c>
      <c r="B62" t="s">
        <v>301</v>
      </c>
      <c r="J62" s="1" t="s">
        <v>406</v>
      </c>
      <c r="K62">
        <f t="shared" si="0"/>
        <v>110</v>
      </c>
      <c r="L62">
        <f t="shared" si="1"/>
        <v>0</v>
      </c>
    </row>
    <row r="63" spans="1:12" x14ac:dyDescent="0.25">
      <c r="A63" t="s">
        <v>302</v>
      </c>
      <c r="B63" t="s">
        <v>303</v>
      </c>
      <c r="G63" t="s">
        <v>148</v>
      </c>
      <c r="J63" s="1" t="s">
        <v>333</v>
      </c>
      <c r="K63">
        <f t="shared" si="0"/>
        <v>76</v>
      </c>
      <c r="L63">
        <f t="shared" si="1"/>
        <v>0</v>
      </c>
    </row>
    <row r="64" spans="1:12" x14ac:dyDescent="0.25">
      <c r="A64" t="s">
        <v>304</v>
      </c>
      <c r="B64" t="s">
        <v>305</v>
      </c>
      <c r="J64" s="1" t="s">
        <v>426</v>
      </c>
      <c r="K64">
        <f t="shared" si="0"/>
        <v>120</v>
      </c>
      <c r="L64" t="str">
        <f t="shared" si="1"/>
        <v>43.7</v>
      </c>
    </row>
    <row r="65" spans="1:12" x14ac:dyDescent="0.25">
      <c r="A65" t="s">
        <v>306</v>
      </c>
      <c r="B65" t="s">
        <v>307</v>
      </c>
      <c r="C65" t="s">
        <v>225</v>
      </c>
      <c r="G65" t="s">
        <v>29</v>
      </c>
      <c r="H65" t="s">
        <v>223</v>
      </c>
      <c r="J65" s="1" t="s">
        <v>529</v>
      </c>
      <c r="K65">
        <f t="shared" si="0"/>
        <v>168</v>
      </c>
      <c r="L65">
        <f t="shared" si="1"/>
        <v>0</v>
      </c>
    </row>
    <row r="66" spans="1:12" x14ac:dyDescent="0.25">
      <c r="A66" t="s">
        <v>308</v>
      </c>
      <c r="B66" t="s">
        <v>309</v>
      </c>
      <c r="C66" t="s">
        <v>120</v>
      </c>
      <c r="D66" t="s">
        <v>76</v>
      </c>
      <c r="E66" t="s">
        <v>120</v>
      </c>
      <c r="F66" t="s">
        <v>15</v>
      </c>
      <c r="G66" t="s">
        <v>21</v>
      </c>
      <c r="J66" s="1" t="s">
        <v>416</v>
      </c>
      <c r="K66">
        <f t="shared" si="0"/>
        <v>115</v>
      </c>
      <c r="L66" t="str">
        <f t="shared" si="1"/>
        <v>28.4</v>
      </c>
    </row>
    <row r="67" spans="1:12" x14ac:dyDescent="0.25">
      <c r="A67" t="s">
        <v>310</v>
      </c>
      <c r="B67" t="s">
        <v>311</v>
      </c>
      <c r="J67" s="1" t="s">
        <v>254</v>
      </c>
      <c r="K67">
        <f t="shared" ref="K67:K130" si="2">MATCH(J67,A$2:A$1048576,0)</f>
        <v>44</v>
      </c>
      <c r="L67">
        <f t="shared" ref="L67:L130" si="3">INDEX(D$2:D$1048576,K67,1)</f>
        <v>0</v>
      </c>
    </row>
    <row r="68" spans="1:12" x14ac:dyDescent="0.25">
      <c r="A68" t="s">
        <v>312</v>
      </c>
      <c r="B68" t="s">
        <v>313</v>
      </c>
      <c r="J68" s="1" t="s">
        <v>306</v>
      </c>
      <c r="K68">
        <f t="shared" si="2"/>
        <v>64</v>
      </c>
      <c r="L68">
        <f t="shared" si="3"/>
        <v>0</v>
      </c>
    </row>
    <row r="69" spans="1:12" x14ac:dyDescent="0.25">
      <c r="A69" t="s">
        <v>314</v>
      </c>
      <c r="B69" t="s">
        <v>315</v>
      </c>
      <c r="C69" t="s">
        <v>45</v>
      </c>
      <c r="D69" t="s">
        <v>107</v>
      </c>
      <c r="E69" t="s">
        <v>282</v>
      </c>
      <c r="F69" t="s">
        <v>282</v>
      </c>
      <c r="G69" t="s">
        <v>122</v>
      </c>
      <c r="H69" t="s">
        <v>174</v>
      </c>
      <c r="J69" s="1" t="s">
        <v>130</v>
      </c>
      <c r="K69">
        <f t="shared" si="2"/>
        <v>15</v>
      </c>
      <c r="L69">
        <f t="shared" si="3"/>
        <v>0</v>
      </c>
    </row>
    <row r="70" spans="1:12" x14ac:dyDescent="0.25">
      <c r="A70" t="s">
        <v>316</v>
      </c>
      <c r="B70" t="s">
        <v>317</v>
      </c>
      <c r="F70" t="s">
        <v>318</v>
      </c>
      <c r="J70" s="1" t="s">
        <v>249</v>
      </c>
      <c r="K70">
        <f t="shared" si="2"/>
        <v>42</v>
      </c>
      <c r="L70">
        <f t="shared" si="3"/>
        <v>0</v>
      </c>
    </row>
    <row r="71" spans="1:12" x14ac:dyDescent="0.25">
      <c r="A71" t="s">
        <v>319</v>
      </c>
      <c r="B71" t="s">
        <v>320</v>
      </c>
      <c r="C71" t="s">
        <v>79</v>
      </c>
      <c r="D71" t="s">
        <v>52</v>
      </c>
      <c r="E71" t="s">
        <v>22</v>
      </c>
      <c r="F71" t="s">
        <v>73</v>
      </c>
      <c r="G71" t="s">
        <v>16</v>
      </c>
      <c r="J71" s="1" t="s">
        <v>12</v>
      </c>
      <c r="K71">
        <f t="shared" si="2"/>
        <v>2</v>
      </c>
      <c r="L71" t="str">
        <f t="shared" si="3"/>
        <v>29.4</v>
      </c>
    </row>
    <row r="72" spans="1:12" x14ac:dyDescent="0.25">
      <c r="A72" t="s">
        <v>321</v>
      </c>
      <c r="B72" t="s">
        <v>322</v>
      </c>
      <c r="C72" t="s">
        <v>85</v>
      </c>
      <c r="D72" t="s">
        <v>261</v>
      </c>
      <c r="E72" t="s">
        <v>282</v>
      </c>
      <c r="F72" t="s">
        <v>46</v>
      </c>
      <c r="G72" t="s">
        <v>274</v>
      </c>
      <c r="J72" s="1" t="s">
        <v>440</v>
      </c>
      <c r="K72">
        <f t="shared" si="2"/>
        <v>126</v>
      </c>
      <c r="L72">
        <f t="shared" si="3"/>
        <v>0</v>
      </c>
    </row>
    <row r="73" spans="1:12" x14ac:dyDescent="0.25">
      <c r="A73" t="s">
        <v>323</v>
      </c>
      <c r="B73" t="s">
        <v>324</v>
      </c>
      <c r="G73" t="s">
        <v>77</v>
      </c>
      <c r="J73" s="1" t="s">
        <v>184</v>
      </c>
      <c r="K73">
        <f t="shared" si="2"/>
        <v>26</v>
      </c>
      <c r="L73" t="str">
        <f t="shared" si="3"/>
        <v>47</v>
      </c>
    </row>
    <row r="74" spans="1:12" x14ac:dyDescent="0.25">
      <c r="A74" t="s">
        <v>325</v>
      </c>
      <c r="B74" t="s">
        <v>326</v>
      </c>
      <c r="C74" t="s">
        <v>87</v>
      </c>
      <c r="J74" s="1" t="s">
        <v>116</v>
      </c>
      <c r="K74">
        <f t="shared" si="2"/>
        <v>14</v>
      </c>
      <c r="L74" t="str">
        <f t="shared" si="3"/>
        <v>40.5</v>
      </c>
    </row>
    <row r="75" spans="1:12" x14ac:dyDescent="0.25">
      <c r="A75" t="s">
        <v>327</v>
      </c>
      <c r="B75" t="s">
        <v>328</v>
      </c>
      <c r="C75" t="s">
        <v>329</v>
      </c>
      <c r="D75" t="s">
        <v>330</v>
      </c>
      <c r="E75" t="s">
        <v>103</v>
      </c>
      <c r="J75" s="1" t="s">
        <v>541</v>
      </c>
      <c r="K75" t="e">
        <f t="shared" si="2"/>
        <v>#N/A</v>
      </c>
      <c r="L75" t="e">
        <f t="shared" si="3"/>
        <v>#N/A</v>
      </c>
    </row>
    <row r="76" spans="1:12" x14ac:dyDescent="0.25">
      <c r="A76" t="s">
        <v>331</v>
      </c>
      <c r="B76" t="s">
        <v>332</v>
      </c>
      <c r="C76" t="s">
        <v>17</v>
      </c>
      <c r="D76" t="s">
        <v>192</v>
      </c>
      <c r="E76" t="s">
        <v>46</v>
      </c>
      <c r="F76" t="s">
        <v>19</v>
      </c>
      <c r="G76" t="s">
        <v>68</v>
      </c>
      <c r="K76" t="e">
        <f t="shared" si="2"/>
        <v>#N/A</v>
      </c>
      <c r="L76" t="e">
        <f t="shared" si="3"/>
        <v>#N/A</v>
      </c>
    </row>
    <row r="77" spans="1:12" x14ac:dyDescent="0.25">
      <c r="A77" t="s">
        <v>333</v>
      </c>
      <c r="B77" t="s">
        <v>334</v>
      </c>
      <c r="E77" t="s">
        <v>143</v>
      </c>
      <c r="K77" t="e">
        <f t="shared" si="2"/>
        <v>#N/A</v>
      </c>
      <c r="L77" t="e">
        <f t="shared" si="3"/>
        <v>#N/A</v>
      </c>
    </row>
    <row r="78" spans="1:12" x14ac:dyDescent="0.25">
      <c r="A78" t="s">
        <v>335</v>
      </c>
      <c r="B78" t="s">
        <v>336</v>
      </c>
      <c r="K78" t="e">
        <f t="shared" si="2"/>
        <v>#N/A</v>
      </c>
      <c r="L78" t="e">
        <f t="shared" si="3"/>
        <v>#N/A</v>
      </c>
    </row>
    <row r="79" spans="1:12" x14ac:dyDescent="0.25">
      <c r="A79" t="s">
        <v>337</v>
      </c>
      <c r="B79" t="s">
        <v>338</v>
      </c>
      <c r="C79" t="s">
        <v>47</v>
      </c>
      <c r="D79" t="s">
        <v>183</v>
      </c>
      <c r="K79" t="e">
        <f t="shared" si="2"/>
        <v>#N/A</v>
      </c>
      <c r="L79" t="e">
        <f t="shared" si="3"/>
        <v>#N/A</v>
      </c>
    </row>
    <row r="80" spans="1:12" x14ac:dyDescent="0.25">
      <c r="A80" t="s">
        <v>339</v>
      </c>
      <c r="B80" t="s">
        <v>340</v>
      </c>
      <c r="C80" t="s">
        <v>53</v>
      </c>
      <c r="D80" t="s">
        <v>78</v>
      </c>
      <c r="E80" t="s">
        <v>52</v>
      </c>
      <c r="K80" t="e">
        <f t="shared" si="2"/>
        <v>#N/A</v>
      </c>
      <c r="L80" t="e">
        <f t="shared" si="3"/>
        <v>#N/A</v>
      </c>
    </row>
    <row r="81" spans="1:12" x14ac:dyDescent="0.25">
      <c r="A81" t="s">
        <v>341</v>
      </c>
      <c r="B81" t="s">
        <v>342</v>
      </c>
      <c r="D81" t="s">
        <v>44</v>
      </c>
      <c r="E81" t="s">
        <v>193</v>
      </c>
      <c r="F81" t="s">
        <v>343</v>
      </c>
      <c r="K81" t="e">
        <f t="shared" si="2"/>
        <v>#N/A</v>
      </c>
      <c r="L81" t="e">
        <f t="shared" si="3"/>
        <v>#N/A</v>
      </c>
    </row>
    <row r="82" spans="1:12" x14ac:dyDescent="0.25">
      <c r="A82" t="s">
        <v>344</v>
      </c>
      <c r="B82" t="s">
        <v>345</v>
      </c>
      <c r="C82" t="s">
        <v>50</v>
      </c>
      <c r="D82" t="s">
        <v>16</v>
      </c>
      <c r="E82" t="s">
        <v>114</v>
      </c>
      <c r="F82" t="s">
        <v>25</v>
      </c>
      <c r="G82" t="s">
        <v>60</v>
      </c>
      <c r="K82" t="e">
        <f t="shared" si="2"/>
        <v>#N/A</v>
      </c>
      <c r="L82" t="e">
        <f t="shared" si="3"/>
        <v>#N/A</v>
      </c>
    </row>
    <row r="83" spans="1:12" x14ac:dyDescent="0.25">
      <c r="A83" t="s">
        <v>346</v>
      </c>
      <c r="B83" t="s">
        <v>347</v>
      </c>
      <c r="C83" t="s">
        <v>138</v>
      </c>
      <c r="K83" t="e">
        <f t="shared" si="2"/>
        <v>#N/A</v>
      </c>
      <c r="L83" t="e">
        <f t="shared" si="3"/>
        <v>#N/A</v>
      </c>
    </row>
    <row r="84" spans="1:12" x14ac:dyDescent="0.25">
      <c r="A84" t="s">
        <v>348</v>
      </c>
      <c r="B84" t="s">
        <v>349</v>
      </c>
      <c r="C84" t="s">
        <v>64</v>
      </c>
      <c r="D84" t="s">
        <v>119</v>
      </c>
      <c r="E84" t="s">
        <v>115</v>
      </c>
      <c r="K84" t="e">
        <f t="shared" si="2"/>
        <v>#N/A</v>
      </c>
      <c r="L84" t="e">
        <f t="shared" si="3"/>
        <v>#N/A</v>
      </c>
    </row>
    <row r="85" spans="1:12" x14ac:dyDescent="0.25">
      <c r="A85" t="s">
        <v>350</v>
      </c>
      <c r="B85" t="s">
        <v>351</v>
      </c>
      <c r="K85" t="e">
        <f t="shared" si="2"/>
        <v>#N/A</v>
      </c>
      <c r="L85" t="e">
        <f t="shared" si="3"/>
        <v>#N/A</v>
      </c>
    </row>
    <row r="86" spans="1:12" x14ac:dyDescent="0.25">
      <c r="A86" t="s">
        <v>352</v>
      </c>
      <c r="B86" t="s">
        <v>353</v>
      </c>
      <c r="F86" t="s">
        <v>107</v>
      </c>
      <c r="K86" t="e">
        <f t="shared" si="2"/>
        <v>#N/A</v>
      </c>
      <c r="L86" t="e">
        <f t="shared" si="3"/>
        <v>#N/A</v>
      </c>
    </row>
    <row r="87" spans="1:12" x14ac:dyDescent="0.25">
      <c r="A87" t="s">
        <v>354</v>
      </c>
      <c r="B87" t="s">
        <v>355</v>
      </c>
      <c r="K87" t="e">
        <f t="shared" si="2"/>
        <v>#N/A</v>
      </c>
      <c r="L87" t="e">
        <f t="shared" si="3"/>
        <v>#N/A</v>
      </c>
    </row>
    <row r="88" spans="1:12" x14ac:dyDescent="0.25">
      <c r="A88" t="s">
        <v>356</v>
      </c>
      <c r="B88" t="s">
        <v>357</v>
      </c>
      <c r="K88" t="e">
        <f t="shared" si="2"/>
        <v>#N/A</v>
      </c>
      <c r="L88" t="e">
        <f t="shared" si="3"/>
        <v>#N/A</v>
      </c>
    </row>
    <row r="89" spans="1:12" x14ac:dyDescent="0.25">
      <c r="A89" t="s">
        <v>358</v>
      </c>
      <c r="B89" t="s">
        <v>359</v>
      </c>
      <c r="C89" t="s">
        <v>343</v>
      </c>
      <c r="K89" t="e">
        <f t="shared" si="2"/>
        <v>#N/A</v>
      </c>
      <c r="L89" t="e">
        <f t="shared" si="3"/>
        <v>#N/A</v>
      </c>
    </row>
    <row r="90" spans="1:12" x14ac:dyDescent="0.25">
      <c r="A90" t="s">
        <v>362</v>
      </c>
      <c r="B90" t="s">
        <v>363</v>
      </c>
      <c r="K90" t="e">
        <f t="shared" si="2"/>
        <v>#N/A</v>
      </c>
      <c r="L90" t="e">
        <f t="shared" si="3"/>
        <v>#N/A</v>
      </c>
    </row>
    <row r="91" spans="1:12" x14ac:dyDescent="0.25">
      <c r="A91" t="s">
        <v>364</v>
      </c>
      <c r="B91" t="s">
        <v>365</v>
      </c>
      <c r="C91" t="s">
        <v>107</v>
      </c>
      <c r="D91" t="s">
        <v>49</v>
      </c>
      <c r="E91" t="s">
        <v>271</v>
      </c>
      <c r="F91" t="s">
        <v>123</v>
      </c>
      <c r="G91" t="s">
        <v>49</v>
      </c>
      <c r="K91" t="e">
        <f t="shared" si="2"/>
        <v>#N/A</v>
      </c>
      <c r="L91" t="e">
        <f t="shared" si="3"/>
        <v>#N/A</v>
      </c>
    </row>
    <row r="92" spans="1:12" x14ac:dyDescent="0.25">
      <c r="A92" t="s">
        <v>366</v>
      </c>
      <c r="B92" t="s">
        <v>367</v>
      </c>
      <c r="C92" t="s">
        <v>260</v>
      </c>
      <c r="D92" t="s">
        <v>92</v>
      </c>
      <c r="E92" t="s">
        <v>119</v>
      </c>
      <c r="F92" t="s">
        <v>163</v>
      </c>
      <c r="G92" t="s">
        <v>56</v>
      </c>
      <c r="K92" t="e">
        <f t="shared" si="2"/>
        <v>#N/A</v>
      </c>
      <c r="L92" t="e">
        <f t="shared" si="3"/>
        <v>#N/A</v>
      </c>
    </row>
    <row r="93" spans="1:12" x14ac:dyDescent="0.25">
      <c r="A93" t="s">
        <v>368</v>
      </c>
      <c r="B93" t="s">
        <v>369</v>
      </c>
      <c r="C93" t="s">
        <v>258</v>
      </c>
      <c r="D93" t="s">
        <v>121</v>
      </c>
      <c r="E93" t="s">
        <v>68</v>
      </c>
      <c r="F93" t="s">
        <v>19</v>
      </c>
      <c r="G93" t="s">
        <v>132</v>
      </c>
      <c r="K93" t="e">
        <f t="shared" si="2"/>
        <v>#N/A</v>
      </c>
      <c r="L93" t="e">
        <f t="shared" si="3"/>
        <v>#N/A</v>
      </c>
    </row>
    <row r="94" spans="1:12" x14ac:dyDescent="0.25">
      <c r="A94" t="s">
        <v>370</v>
      </c>
      <c r="B94" t="s">
        <v>371</v>
      </c>
      <c r="K94" t="e">
        <f t="shared" si="2"/>
        <v>#N/A</v>
      </c>
      <c r="L94" t="e">
        <f t="shared" si="3"/>
        <v>#N/A</v>
      </c>
    </row>
    <row r="95" spans="1:12" x14ac:dyDescent="0.25">
      <c r="A95" t="s">
        <v>372</v>
      </c>
      <c r="B95" t="s">
        <v>373</v>
      </c>
      <c r="C95" t="s">
        <v>100</v>
      </c>
      <c r="D95" t="s">
        <v>234</v>
      </c>
      <c r="E95" t="s">
        <v>95</v>
      </c>
      <c r="F95" t="s">
        <v>112</v>
      </c>
      <c r="G95" t="s">
        <v>87</v>
      </c>
      <c r="K95" t="e">
        <f t="shared" si="2"/>
        <v>#N/A</v>
      </c>
      <c r="L95" t="e">
        <f t="shared" si="3"/>
        <v>#N/A</v>
      </c>
    </row>
    <row r="96" spans="1:12" x14ac:dyDescent="0.25">
      <c r="A96" t="s">
        <v>374</v>
      </c>
      <c r="B96" t="s">
        <v>375</v>
      </c>
      <c r="E96" t="s">
        <v>283</v>
      </c>
      <c r="K96" t="e">
        <f t="shared" si="2"/>
        <v>#N/A</v>
      </c>
      <c r="L96" t="e">
        <f t="shared" si="3"/>
        <v>#N/A</v>
      </c>
    </row>
    <row r="97" spans="1:12" x14ac:dyDescent="0.25">
      <c r="A97" t="s">
        <v>376</v>
      </c>
      <c r="B97" t="s">
        <v>377</v>
      </c>
      <c r="C97" t="s">
        <v>74</v>
      </c>
      <c r="K97" t="e">
        <f t="shared" si="2"/>
        <v>#N/A</v>
      </c>
      <c r="L97" t="e">
        <f t="shared" si="3"/>
        <v>#N/A</v>
      </c>
    </row>
    <row r="98" spans="1:12" x14ac:dyDescent="0.25">
      <c r="A98" t="s">
        <v>378</v>
      </c>
      <c r="B98" t="s">
        <v>379</v>
      </c>
      <c r="D98" t="s">
        <v>149</v>
      </c>
      <c r="F98" t="s">
        <v>288</v>
      </c>
      <c r="K98" t="e">
        <f t="shared" si="2"/>
        <v>#N/A</v>
      </c>
      <c r="L98" t="e">
        <f t="shared" si="3"/>
        <v>#N/A</v>
      </c>
    </row>
    <row r="99" spans="1:12" x14ac:dyDescent="0.25">
      <c r="A99" t="s">
        <v>382</v>
      </c>
      <c r="B99" t="s">
        <v>383</v>
      </c>
      <c r="C99" t="s">
        <v>282</v>
      </c>
      <c r="K99" t="e">
        <f t="shared" si="2"/>
        <v>#N/A</v>
      </c>
      <c r="L99" t="e">
        <f t="shared" si="3"/>
        <v>#N/A</v>
      </c>
    </row>
    <row r="100" spans="1:12" x14ac:dyDescent="0.25">
      <c r="A100" t="s">
        <v>384</v>
      </c>
      <c r="B100" t="s">
        <v>385</v>
      </c>
      <c r="C100" t="s">
        <v>66</v>
      </c>
      <c r="K100" t="e">
        <f t="shared" si="2"/>
        <v>#N/A</v>
      </c>
      <c r="L100" t="e">
        <f t="shared" si="3"/>
        <v>#N/A</v>
      </c>
    </row>
    <row r="101" spans="1:12" x14ac:dyDescent="0.25">
      <c r="A101" t="s">
        <v>386</v>
      </c>
      <c r="B101" t="s">
        <v>387</v>
      </c>
      <c r="E101" t="s">
        <v>121</v>
      </c>
      <c r="K101" t="e">
        <f t="shared" si="2"/>
        <v>#N/A</v>
      </c>
      <c r="L101" t="e">
        <f t="shared" si="3"/>
        <v>#N/A</v>
      </c>
    </row>
    <row r="102" spans="1:12" x14ac:dyDescent="0.25">
      <c r="A102" t="s">
        <v>388</v>
      </c>
      <c r="B102" t="s">
        <v>389</v>
      </c>
      <c r="C102" t="s">
        <v>175</v>
      </c>
      <c r="D102" t="s">
        <v>176</v>
      </c>
      <c r="E102" t="s">
        <v>178</v>
      </c>
      <c r="F102" t="s">
        <v>17</v>
      </c>
      <c r="K102" t="e">
        <f t="shared" si="2"/>
        <v>#N/A</v>
      </c>
      <c r="L102" t="e">
        <f t="shared" si="3"/>
        <v>#N/A</v>
      </c>
    </row>
    <row r="103" spans="1:12" x14ac:dyDescent="0.25">
      <c r="A103" t="s">
        <v>390</v>
      </c>
      <c r="B103" t="s">
        <v>391</v>
      </c>
      <c r="K103" t="e">
        <f t="shared" si="2"/>
        <v>#N/A</v>
      </c>
      <c r="L103" t="e">
        <f t="shared" si="3"/>
        <v>#N/A</v>
      </c>
    </row>
    <row r="104" spans="1:12" x14ac:dyDescent="0.25">
      <c r="A104" t="s">
        <v>392</v>
      </c>
      <c r="B104" t="s">
        <v>393</v>
      </c>
      <c r="C104" t="s">
        <v>121</v>
      </c>
      <c r="D104" t="s">
        <v>45</v>
      </c>
      <c r="E104" t="s">
        <v>68</v>
      </c>
      <c r="K104" t="e">
        <f t="shared" si="2"/>
        <v>#N/A</v>
      </c>
      <c r="L104" t="e">
        <f t="shared" si="3"/>
        <v>#N/A</v>
      </c>
    </row>
    <row r="105" spans="1:12" x14ac:dyDescent="0.25">
      <c r="A105" t="s">
        <v>394</v>
      </c>
      <c r="B105" t="s">
        <v>395</v>
      </c>
      <c r="F105" t="s">
        <v>176</v>
      </c>
      <c r="K105" t="e">
        <f t="shared" si="2"/>
        <v>#N/A</v>
      </c>
      <c r="L105" t="e">
        <f t="shared" si="3"/>
        <v>#N/A</v>
      </c>
    </row>
    <row r="106" spans="1:12" x14ac:dyDescent="0.25">
      <c r="A106" t="s">
        <v>396</v>
      </c>
      <c r="B106" t="s">
        <v>397</v>
      </c>
      <c r="C106" t="s">
        <v>32</v>
      </c>
      <c r="F106" t="s">
        <v>253</v>
      </c>
      <c r="K106" t="e">
        <f t="shared" si="2"/>
        <v>#N/A</v>
      </c>
      <c r="L106" t="e">
        <f t="shared" si="3"/>
        <v>#N/A</v>
      </c>
    </row>
    <row r="107" spans="1:12" x14ac:dyDescent="0.25">
      <c r="A107" t="s">
        <v>398</v>
      </c>
      <c r="B107" t="s">
        <v>399</v>
      </c>
      <c r="C107" t="s">
        <v>135</v>
      </c>
      <c r="K107" t="e">
        <f t="shared" si="2"/>
        <v>#N/A</v>
      </c>
      <c r="L107" t="e">
        <f t="shared" si="3"/>
        <v>#N/A</v>
      </c>
    </row>
    <row r="108" spans="1:12" x14ac:dyDescent="0.25">
      <c r="A108" t="s">
        <v>400</v>
      </c>
      <c r="B108" t="s">
        <v>401</v>
      </c>
      <c r="K108" t="e">
        <f t="shared" si="2"/>
        <v>#N/A</v>
      </c>
      <c r="L108" t="e">
        <f t="shared" si="3"/>
        <v>#N/A</v>
      </c>
    </row>
    <row r="109" spans="1:12" x14ac:dyDescent="0.25">
      <c r="A109" t="s">
        <v>402</v>
      </c>
      <c r="B109" t="s">
        <v>403</v>
      </c>
      <c r="C109" t="s">
        <v>197</v>
      </c>
      <c r="K109" t="e">
        <f t="shared" si="2"/>
        <v>#N/A</v>
      </c>
      <c r="L109" t="e">
        <f t="shared" si="3"/>
        <v>#N/A</v>
      </c>
    </row>
    <row r="110" spans="1:12" x14ac:dyDescent="0.25">
      <c r="A110" t="s">
        <v>404</v>
      </c>
      <c r="B110" t="s">
        <v>405</v>
      </c>
      <c r="E110" t="s">
        <v>40</v>
      </c>
      <c r="K110" t="e">
        <f t="shared" si="2"/>
        <v>#N/A</v>
      </c>
      <c r="L110" t="e">
        <f t="shared" si="3"/>
        <v>#N/A</v>
      </c>
    </row>
    <row r="111" spans="1:12" x14ac:dyDescent="0.25">
      <c r="A111" t="s">
        <v>406</v>
      </c>
      <c r="B111" t="s">
        <v>407</v>
      </c>
      <c r="K111" t="e">
        <f t="shared" si="2"/>
        <v>#N/A</v>
      </c>
      <c r="L111" t="e">
        <f t="shared" si="3"/>
        <v>#N/A</v>
      </c>
    </row>
    <row r="112" spans="1:12" x14ac:dyDescent="0.25">
      <c r="A112" t="s">
        <v>408</v>
      </c>
      <c r="B112" t="s">
        <v>409</v>
      </c>
      <c r="E112" t="s">
        <v>115</v>
      </c>
      <c r="K112" t="e">
        <f t="shared" si="2"/>
        <v>#N/A</v>
      </c>
      <c r="L112" t="e">
        <f t="shared" si="3"/>
        <v>#N/A</v>
      </c>
    </row>
    <row r="113" spans="1:12" x14ac:dyDescent="0.25">
      <c r="A113" t="s">
        <v>410</v>
      </c>
      <c r="B113" t="s">
        <v>411</v>
      </c>
      <c r="F113" t="s">
        <v>179</v>
      </c>
      <c r="K113" t="e">
        <f t="shared" si="2"/>
        <v>#N/A</v>
      </c>
      <c r="L113" t="e">
        <f t="shared" si="3"/>
        <v>#N/A</v>
      </c>
    </row>
    <row r="114" spans="1:12" x14ac:dyDescent="0.25">
      <c r="A114" t="s">
        <v>412</v>
      </c>
      <c r="B114" t="s">
        <v>413</v>
      </c>
      <c r="K114" t="e">
        <f t="shared" si="2"/>
        <v>#N/A</v>
      </c>
      <c r="L114" t="e">
        <f t="shared" si="3"/>
        <v>#N/A</v>
      </c>
    </row>
    <row r="115" spans="1:12" x14ac:dyDescent="0.25">
      <c r="A115" t="s">
        <v>414</v>
      </c>
      <c r="B115" t="s">
        <v>415</v>
      </c>
      <c r="C115" t="s">
        <v>52</v>
      </c>
      <c r="D115" t="s">
        <v>100</v>
      </c>
      <c r="E115" t="s">
        <v>95</v>
      </c>
      <c r="K115" t="e">
        <f t="shared" si="2"/>
        <v>#N/A</v>
      </c>
      <c r="L115" t="e">
        <f t="shared" si="3"/>
        <v>#N/A</v>
      </c>
    </row>
    <row r="116" spans="1:12" x14ac:dyDescent="0.25">
      <c r="A116" t="s">
        <v>416</v>
      </c>
      <c r="B116" t="s">
        <v>417</v>
      </c>
      <c r="C116" t="s">
        <v>98</v>
      </c>
      <c r="D116" t="s">
        <v>96</v>
      </c>
      <c r="E116" t="s">
        <v>75</v>
      </c>
      <c r="F116" t="s">
        <v>113</v>
      </c>
      <c r="G116" t="s">
        <v>136</v>
      </c>
      <c r="K116" t="e">
        <f t="shared" si="2"/>
        <v>#N/A</v>
      </c>
      <c r="L116" t="e">
        <f t="shared" si="3"/>
        <v>#N/A</v>
      </c>
    </row>
    <row r="117" spans="1:12" x14ac:dyDescent="0.25">
      <c r="A117" t="s">
        <v>418</v>
      </c>
      <c r="B117" t="s">
        <v>419</v>
      </c>
      <c r="F117" t="s">
        <v>15</v>
      </c>
      <c r="K117" t="e">
        <f t="shared" si="2"/>
        <v>#N/A</v>
      </c>
      <c r="L117" t="e">
        <f t="shared" si="3"/>
        <v>#N/A</v>
      </c>
    </row>
    <row r="118" spans="1:12" x14ac:dyDescent="0.25">
      <c r="A118" t="s">
        <v>420</v>
      </c>
      <c r="B118" t="s">
        <v>421</v>
      </c>
      <c r="K118" t="e">
        <f t="shared" si="2"/>
        <v>#N/A</v>
      </c>
      <c r="L118" t="e">
        <f t="shared" si="3"/>
        <v>#N/A</v>
      </c>
    </row>
    <row r="119" spans="1:12" x14ac:dyDescent="0.25">
      <c r="A119" t="s">
        <v>422</v>
      </c>
      <c r="B119" t="s">
        <v>423</v>
      </c>
      <c r="K119" t="e">
        <f t="shared" si="2"/>
        <v>#N/A</v>
      </c>
      <c r="L119" t="e">
        <f t="shared" si="3"/>
        <v>#N/A</v>
      </c>
    </row>
    <row r="120" spans="1:12" x14ac:dyDescent="0.25">
      <c r="A120" t="s">
        <v>424</v>
      </c>
      <c r="B120" t="s">
        <v>425</v>
      </c>
      <c r="C120" t="s">
        <v>33</v>
      </c>
      <c r="E120" t="s">
        <v>381</v>
      </c>
      <c r="G120" t="s">
        <v>31</v>
      </c>
      <c r="H120" t="s">
        <v>215</v>
      </c>
      <c r="K120" t="e">
        <f t="shared" si="2"/>
        <v>#N/A</v>
      </c>
      <c r="L120" t="e">
        <f t="shared" si="3"/>
        <v>#N/A</v>
      </c>
    </row>
    <row r="121" spans="1:12" x14ac:dyDescent="0.25">
      <c r="A121" t="s">
        <v>426</v>
      </c>
      <c r="B121" t="s">
        <v>427</v>
      </c>
      <c r="C121" t="s">
        <v>203</v>
      </c>
      <c r="D121" t="s">
        <v>35</v>
      </c>
      <c r="E121" t="s">
        <v>277</v>
      </c>
      <c r="F121" t="s">
        <v>125</v>
      </c>
      <c r="G121" t="s">
        <v>40</v>
      </c>
      <c r="H121" t="s">
        <v>277</v>
      </c>
      <c r="K121" t="e">
        <f t="shared" si="2"/>
        <v>#N/A</v>
      </c>
      <c r="L121" t="e">
        <f t="shared" si="3"/>
        <v>#N/A</v>
      </c>
    </row>
    <row r="122" spans="1:12" x14ac:dyDescent="0.25">
      <c r="A122" t="s">
        <v>428</v>
      </c>
      <c r="B122" t="s">
        <v>429</v>
      </c>
      <c r="E122" t="s">
        <v>40</v>
      </c>
      <c r="G122" t="s">
        <v>361</v>
      </c>
      <c r="K122" t="e">
        <f t="shared" si="2"/>
        <v>#N/A</v>
      </c>
      <c r="L122" t="e">
        <f t="shared" si="3"/>
        <v>#N/A</v>
      </c>
    </row>
    <row r="123" spans="1:12" x14ac:dyDescent="0.25">
      <c r="A123" t="s">
        <v>431</v>
      </c>
      <c r="B123" t="s">
        <v>432</v>
      </c>
      <c r="K123" t="e">
        <f t="shared" si="2"/>
        <v>#N/A</v>
      </c>
      <c r="L123" t="e">
        <f t="shared" si="3"/>
        <v>#N/A</v>
      </c>
    </row>
    <row r="124" spans="1:12" x14ac:dyDescent="0.25">
      <c r="A124" t="s">
        <v>433</v>
      </c>
      <c r="B124" t="s">
        <v>434</v>
      </c>
      <c r="C124" t="s">
        <v>114</v>
      </c>
      <c r="D124" t="s">
        <v>167</v>
      </c>
      <c r="E124" t="s">
        <v>167</v>
      </c>
      <c r="F124" t="s">
        <v>120</v>
      </c>
      <c r="G124" t="s">
        <v>167</v>
      </c>
      <c r="K124" t="e">
        <f t="shared" si="2"/>
        <v>#N/A</v>
      </c>
      <c r="L124" t="e">
        <f t="shared" si="3"/>
        <v>#N/A</v>
      </c>
    </row>
    <row r="125" spans="1:12" x14ac:dyDescent="0.25">
      <c r="A125" t="s">
        <v>435</v>
      </c>
      <c r="B125" t="s">
        <v>436</v>
      </c>
      <c r="C125" t="s">
        <v>18</v>
      </c>
      <c r="D125" t="s">
        <v>67</v>
      </c>
      <c r="E125" t="s">
        <v>17</v>
      </c>
      <c r="F125" t="s">
        <v>299</v>
      </c>
      <c r="G125" t="s">
        <v>179</v>
      </c>
      <c r="K125" t="e">
        <f t="shared" si="2"/>
        <v>#N/A</v>
      </c>
      <c r="L125" t="e">
        <f t="shared" si="3"/>
        <v>#N/A</v>
      </c>
    </row>
    <row r="126" spans="1:12" x14ac:dyDescent="0.25">
      <c r="A126" t="s">
        <v>437</v>
      </c>
      <c r="B126" t="s">
        <v>438</v>
      </c>
      <c r="C126" t="s">
        <v>223</v>
      </c>
      <c r="D126" t="s">
        <v>288</v>
      </c>
      <c r="E126" t="s">
        <v>430</v>
      </c>
      <c r="F126" t="s">
        <v>149</v>
      </c>
      <c r="G126" t="s">
        <v>439</v>
      </c>
      <c r="H126" t="s">
        <v>439</v>
      </c>
      <c r="K126" t="e">
        <f t="shared" si="2"/>
        <v>#N/A</v>
      </c>
      <c r="L126" t="e">
        <f t="shared" si="3"/>
        <v>#N/A</v>
      </c>
    </row>
    <row r="127" spans="1:12" x14ac:dyDescent="0.25">
      <c r="A127" t="s">
        <v>440</v>
      </c>
      <c r="B127" t="s">
        <v>441</v>
      </c>
      <c r="G127" t="s">
        <v>285</v>
      </c>
      <c r="K127" t="e">
        <f t="shared" si="2"/>
        <v>#N/A</v>
      </c>
      <c r="L127" t="e">
        <f t="shared" si="3"/>
        <v>#N/A</v>
      </c>
    </row>
    <row r="128" spans="1:12" x14ac:dyDescent="0.25">
      <c r="A128" t="s">
        <v>442</v>
      </c>
      <c r="B128" t="s">
        <v>443</v>
      </c>
      <c r="K128" t="e">
        <f t="shared" si="2"/>
        <v>#N/A</v>
      </c>
      <c r="L128" t="e">
        <f t="shared" si="3"/>
        <v>#N/A</v>
      </c>
    </row>
    <row r="129" spans="1:12" x14ac:dyDescent="0.25">
      <c r="A129" t="s">
        <v>444</v>
      </c>
      <c r="B129" t="s">
        <v>445</v>
      </c>
      <c r="C129" t="s">
        <v>46</v>
      </c>
      <c r="D129" t="s">
        <v>17</v>
      </c>
      <c r="E129" t="s">
        <v>179</v>
      </c>
      <c r="F129" t="s">
        <v>183</v>
      </c>
      <c r="G129" t="s">
        <v>77</v>
      </c>
      <c r="K129" t="e">
        <f t="shared" si="2"/>
        <v>#N/A</v>
      </c>
      <c r="L129" t="e">
        <f t="shared" si="3"/>
        <v>#N/A</v>
      </c>
    </row>
    <row r="130" spans="1:12" x14ac:dyDescent="0.25">
      <c r="A130" t="s">
        <v>446</v>
      </c>
      <c r="B130" t="s">
        <v>447</v>
      </c>
      <c r="C130" t="s">
        <v>121</v>
      </c>
      <c r="D130" t="s">
        <v>19</v>
      </c>
      <c r="E130" t="s">
        <v>259</v>
      </c>
      <c r="F130" t="s">
        <v>179</v>
      </c>
      <c r="G130" t="s">
        <v>47</v>
      </c>
      <c r="K130" t="e">
        <f t="shared" si="2"/>
        <v>#N/A</v>
      </c>
      <c r="L130" t="e">
        <f t="shared" si="3"/>
        <v>#N/A</v>
      </c>
    </row>
    <row r="131" spans="1:12" x14ac:dyDescent="0.25">
      <c r="A131" t="s">
        <v>448</v>
      </c>
      <c r="B131" t="s">
        <v>449</v>
      </c>
      <c r="G131" t="s">
        <v>202</v>
      </c>
      <c r="K131" t="e">
        <f t="shared" ref="K131:K148" si="4">MATCH(J131,A$2:A$1048576,0)</f>
        <v>#N/A</v>
      </c>
      <c r="L131" t="e">
        <f t="shared" ref="L131:L148" si="5">INDEX(D$2:D$1048576,K131,1)</f>
        <v>#N/A</v>
      </c>
    </row>
    <row r="132" spans="1:12" x14ac:dyDescent="0.25">
      <c r="A132" t="s">
        <v>450</v>
      </c>
      <c r="B132" t="s">
        <v>451</v>
      </c>
      <c r="K132" t="e">
        <f t="shared" si="4"/>
        <v>#N/A</v>
      </c>
      <c r="L132" t="e">
        <f t="shared" si="5"/>
        <v>#N/A</v>
      </c>
    </row>
    <row r="133" spans="1:12" x14ac:dyDescent="0.25">
      <c r="A133" t="s">
        <v>452</v>
      </c>
      <c r="B133" t="s">
        <v>453</v>
      </c>
      <c r="E133" t="s">
        <v>44</v>
      </c>
      <c r="K133" t="e">
        <f t="shared" si="4"/>
        <v>#N/A</v>
      </c>
      <c r="L133" t="e">
        <f t="shared" si="5"/>
        <v>#N/A</v>
      </c>
    </row>
    <row r="134" spans="1:12" x14ac:dyDescent="0.25">
      <c r="A134" t="s">
        <v>454</v>
      </c>
      <c r="B134" t="s">
        <v>455</v>
      </c>
      <c r="K134" t="e">
        <f t="shared" si="4"/>
        <v>#N/A</v>
      </c>
      <c r="L134" t="e">
        <f t="shared" si="5"/>
        <v>#N/A</v>
      </c>
    </row>
    <row r="135" spans="1:12" x14ac:dyDescent="0.25">
      <c r="A135" t="s">
        <v>456</v>
      </c>
      <c r="B135" t="s">
        <v>457</v>
      </c>
      <c r="K135" t="e">
        <f t="shared" si="4"/>
        <v>#N/A</v>
      </c>
      <c r="L135" t="e">
        <f t="shared" si="5"/>
        <v>#N/A</v>
      </c>
    </row>
    <row r="136" spans="1:12" x14ac:dyDescent="0.25">
      <c r="A136" t="s">
        <v>458</v>
      </c>
      <c r="B136" t="s">
        <v>459</v>
      </c>
      <c r="C136" t="s">
        <v>166</v>
      </c>
      <c r="E136" t="s">
        <v>127</v>
      </c>
      <c r="F136" t="s">
        <v>166</v>
      </c>
      <c r="G136" t="s">
        <v>106</v>
      </c>
      <c r="K136" t="e">
        <f t="shared" si="4"/>
        <v>#N/A</v>
      </c>
      <c r="L136" t="e">
        <f t="shared" si="5"/>
        <v>#N/A</v>
      </c>
    </row>
    <row r="137" spans="1:12" x14ac:dyDescent="0.25">
      <c r="A137" t="s">
        <v>460</v>
      </c>
      <c r="B137" t="s">
        <v>461</v>
      </c>
      <c r="C137" t="s">
        <v>258</v>
      </c>
      <c r="D137" t="s">
        <v>266</v>
      </c>
      <c r="E137" t="s">
        <v>20</v>
      </c>
      <c r="F137" t="s">
        <v>18</v>
      </c>
      <c r="K137" t="e">
        <f t="shared" si="4"/>
        <v>#N/A</v>
      </c>
      <c r="L137" t="e">
        <f t="shared" si="5"/>
        <v>#N/A</v>
      </c>
    </row>
    <row r="138" spans="1:12" x14ac:dyDescent="0.25">
      <c r="A138" t="s">
        <v>462</v>
      </c>
      <c r="B138" t="s">
        <v>463</v>
      </c>
      <c r="K138" t="e">
        <f t="shared" si="4"/>
        <v>#N/A</v>
      </c>
      <c r="L138" t="e">
        <f t="shared" si="5"/>
        <v>#N/A</v>
      </c>
    </row>
    <row r="139" spans="1:12" x14ac:dyDescent="0.25">
      <c r="A139" t="s">
        <v>464</v>
      </c>
      <c r="B139" t="s">
        <v>465</v>
      </c>
      <c r="K139" t="e">
        <f t="shared" si="4"/>
        <v>#N/A</v>
      </c>
      <c r="L139" t="e">
        <f t="shared" si="5"/>
        <v>#N/A</v>
      </c>
    </row>
    <row r="140" spans="1:12" x14ac:dyDescent="0.25">
      <c r="A140" t="s">
        <v>466</v>
      </c>
      <c r="B140" t="s">
        <v>467</v>
      </c>
      <c r="F140" t="s">
        <v>196</v>
      </c>
      <c r="K140" t="e">
        <f t="shared" si="4"/>
        <v>#N/A</v>
      </c>
      <c r="L140" t="e">
        <f t="shared" si="5"/>
        <v>#N/A</v>
      </c>
    </row>
    <row r="141" spans="1:12" x14ac:dyDescent="0.25">
      <c r="A141" t="s">
        <v>468</v>
      </c>
      <c r="B141" t="s">
        <v>469</v>
      </c>
      <c r="C141" t="s">
        <v>470</v>
      </c>
      <c r="D141" t="s">
        <v>471</v>
      </c>
      <c r="E141" t="s">
        <v>472</v>
      </c>
      <c r="F141" t="s">
        <v>472</v>
      </c>
      <c r="G141" t="s">
        <v>243</v>
      </c>
      <c r="K141" t="e">
        <f t="shared" si="4"/>
        <v>#N/A</v>
      </c>
      <c r="L141" t="e">
        <f t="shared" si="5"/>
        <v>#N/A</v>
      </c>
    </row>
    <row r="142" spans="1:12" x14ac:dyDescent="0.25">
      <c r="A142" t="s">
        <v>473</v>
      </c>
      <c r="B142" t="s">
        <v>474</v>
      </c>
      <c r="C142" t="s">
        <v>140</v>
      </c>
      <c r="D142" t="s">
        <v>475</v>
      </c>
      <c r="E142" t="s">
        <v>118</v>
      </c>
      <c r="F142" t="s">
        <v>118</v>
      </c>
      <c r="G142" t="s">
        <v>242</v>
      </c>
      <c r="K142" t="e">
        <f t="shared" si="4"/>
        <v>#N/A</v>
      </c>
      <c r="L142" t="e">
        <f t="shared" si="5"/>
        <v>#N/A</v>
      </c>
    </row>
    <row r="143" spans="1:12" x14ac:dyDescent="0.25">
      <c r="A143" t="s">
        <v>476</v>
      </c>
      <c r="B143" t="s">
        <v>477</v>
      </c>
      <c r="C143" t="s">
        <v>74</v>
      </c>
      <c r="D143" t="s">
        <v>120</v>
      </c>
      <c r="E143" t="s">
        <v>77</v>
      </c>
      <c r="F143" t="s">
        <v>178</v>
      </c>
      <c r="G143" t="s">
        <v>74</v>
      </c>
      <c r="K143" t="e">
        <f t="shared" si="4"/>
        <v>#N/A</v>
      </c>
      <c r="L143" t="e">
        <f t="shared" si="5"/>
        <v>#N/A</v>
      </c>
    </row>
    <row r="144" spans="1:12" x14ac:dyDescent="0.25">
      <c r="A144" t="s">
        <v>478</v>
      </c>
      <c r="B144" t="s">
        <v>479</v>
      </c>
      <c r="K144" t="e">
        <f t="shared" si="4"/>
        <v>#N/A</v>
      </c>
      <c r="L144" t="e">
        <f t="shared" si="5"/>
        <v>#N/A</v>
      </c>
    </row>
    <row r="145" spans="1:12" x14ac:dyDescent="0.25">
      <c r="A145" t="s">
        <v>480</v>
      </c>
      <c r="B145" t="s">
        <v>481</v>
      </c>
      <c r="K145" t="e">
        <f t="shared" si="4"/>
        <v>#N/A</v>
      </c>
      <c r="L145" t="e">
        <f t="shared" si="5"/>
        <v>#N/A</v>
      </c>
    </row>
    <row r="146" spans="1:12" x14ac:dyDescent="0.25">
      <c r="A146" t="s">
        <v>482</v>
      </c>
      <c r="B146" t="s">
        <v>483</v>
      </c>
      <c r="F146" t="s">
        <v>88</v>
      </c>
      <c r="K146" t="e">
        <f t="shared" si="4"/>
        <v>#N/A</v>
      </c>
      <c r="L146" t="e">
        <f t="shared" si="5"/>
        <v>#N/A</v>
      </c>
    </row>
    <row r="147" spans="1:12" x14ac:dyDescent="0.25">
      <c r="A147" t="s">
        <v>484</v>
      </c>
      <c r="B147" t="s">
        <v>485</v>
      </c>
      <c r="F147" t="s">
        <v>109</v>
      </c>
      <c r="K147" t="e">
        <f t="shared" si="4"/>
        <v>#N/A</v>
      </c>
      <c r="L147" t="e">
        <f t="shared" si="5"/>
        <v>#N/A</v>
      </c>
    </row>
    <row r="148" spans="1:12" x14ac:dyDescent="0.25">
      <c r="A148" t="s">
        <v>486</v>
      </c>
      <c r="B148" t="s">
        <v>487</v>
      </c>
      <c r="E148" t="s">
        <v>103</v>
      </c>
      <c r="K148" t="e">
        <f t="shared" si="4"/>
        <v>#N/A</v>
      </c>
      <c r="L148" t="e">
        <f t="shared" si="5"/>
        <v>#N/A</v>
      </c>
    </row>
    <row r="149" spans="1:12" x14ac:dyDescent="0.25">
      <c r="A149" t="s">
        <v>488</v>
      </c>
      <c r="B149" t="s">
        <v>489</v>
      </c>
      <c r="C149" t="s">
        <v>174</v>
      </c>
      <c r="D149" t="s">
        <v>266</v>
      </c>
      <c r="E149" t="s">
        <v>174</v>
      </c>
      <c r="F149" t="s">
        <v>68</v>
      </c>
      <c r="G149" t="s">
        <v>66</v>
      </c>
    </row>
    <row r="150" spans="1:12" x14ac:dyDescent="0.25">
      <c r="A150" t="s">
        <v>490</v>
      </c>
      <c r="B150" t="s">
        <v>491</v>
      </c>
      <c r="E150" t="s">
        <v>55</v>
      </c>
      <c r="F150" t="s">
        <v>129</v>
      </c>
      <c r="G150" t="s">
        <v>201</v>
      </c>
      <c r="H150" t="s">
        <v>122</v>
      </c>
    </row>
    <row r="151" spans="1:12" x14ac:dyDescent="0.25">
      <c r="A151" t="s">
        <v>492</v>
      </c>
      <c r="B151" t="s">
        <v>493</v>
      </c>
    </row>
    <row r="152" spans="1:12" x14ac:dyDescent="0.25">
      <c r="A152" t="s">
        <v>494</v>
      </c>
      <c r="B152" t="s">
        <v>495</v>
      </c>
    </row>
    <row r="153" spans="1:12" x14ac:dyDescent="0.25">
      <c r="A153" t="s">
        <v>496</v>
      </c>
      <c r="B153" t="s">
        <v>497</v>
      </c>
      <c r="E153" t="s">
        <v>191</v>
      </c>
    </row>
    <row r="154" spans="1:12" x14ac:dyDescent="0.25">
      <c r="A154" t="s">
        <v>498</v>
      </c>
      <c r="B154" t="s">
        <v>499</v>
      </c>
    </row>
    <row r="155" spans="1:12" x14ac:dyDescent="0.25">
      <c r="A155" t="s">
        <v>500</v>
      </c>
      <c r="B155" t="s">
        <v>501</v>
      </c>
      <c r="E155" t="s">
        <v>19</v>
      </c>
    </row>
    <row r="156" spans="1:12" x14ac:dyDescent="0.25">
      <c r="A156" t="s">
        <v>502</v>
      </c>
      <c r="B156" t="s">
        <v>503</v>
      </c>
      <c r="C156" t="s">
        <v>34</v>
      </c>
      <c r="D156" t="s">
        <v>108</v>
      </c>
      <c r="E156" t="s">
        <v>43</v>
      </c>
      <c r="F156" t="s">
        <v>504</v>
      </c>
    </row>
    <row r="157" spans="1:12" x14ac:dyDescent="0.25">
      <c r="A157" t="s">
        <v>505</v>
      </c>
      <c r="B157" t="s">
        <v>506</v>
      </c>
    </row>
    <row r="158" spans="1:12" x14ac:dyDescent="0.25">
      <c r="A158" t="s">
        <v>507</v>
      </c>
      <c r="B158" t="s">
        <v>508</v>
      </c>
    </row>
    <row r="159" spans="1:12" x14ac:dyDescent="0.25">
      <c r="A159" t="s">
        <v>509</v>
      </c>
      <c r="B159" t="s">
        <v>510</v>
      </c>
      <c r="C159" t="s">
        <v>10</v>
      </c>
    </row>
    <row r="160" spans="1:12" x14ac:dyDescent="0.25">
      <c r="A160" t="s">
        <v>511</v>
      </c>
      <c r="B160" t="s">
        <v>512</v>
      </c>
      <c r="C160" t="s">
        <v>88</v>
      </c>
      <c r="D160" t="s">
        <v>139</v>
      </c>
    </row>
    <row r="161" spans="1:8" x14ac:dyDescent="0.25">
      <c r="A161" t="s">
        <v>513</v>
      </c>
      <c r="B161" t="s">
        <v>514</v>
      </c>
      <c r="C161" t="s">
        <v>195</v>
      </c>
      <c r="D161" t="s">
        <v>360</v>
      </c>
      <c r="E161" t="s">
        <v>28</v>
      </c>
      <c r="F161" t="s">
        <v>124</v>
      </c>
      <c r="G161" t="s">
        <v>152</v>
      </c>
      <c r="H161" t="s">
        <v>239</v>
      </c>
    </row>
    <row r="162" spans="1:8" x14ac:dyDescent="0.25">
      <c r="A162" t="s">
        <v>515</v>
      </c>
      <c r="B162" t="s">
        <v>516</v>
      </c>
      <c r="C162" t="s">
        <v>246</v>
      </c>
      <c r="D162" t="s">
        <v>239</v>
      </c>
      <c r="E162" t="s">
        <v>195</v>
      </c>
      <c r="F162" t="s">
        <v>37</v>
      </c>
      <c r="G162" t="s">
        <v>36</v>
      </c>
    </row>
    <row r="163" spans="1:8" x14ac:dyDescent="0.25">
      <c r="A163" t="s">
        <v>517</v>
      </c>
      <c r="B163" t="s">
        <v>518</v>
      </c>
      <c r="E163" t="s">
        <v>115</v>
      </c>
      <c r="F163" t="s">
        <v>51</v>
      </c>
      <c r="G163" t="s">
        <v>258</v>
      </c>
      <c r="H163" t="s">
        <v>17</v>
      </c>
    </row>
    <row r="164" spans="1:8" x14ac:dyDescent="0.25">
      <c r="A164" t="s">
        <v>519</v>
      </c>
      <c r="B164" t="s">
        <v>520</v>
      </c>
    </row>
    <row r="165" spans="1:8" x14ac:dyDescent="0.25">
      <c r="A165" t="s">
        <v>521</v>
      </c>
      <c r="B165" t="s">
        <v>522</v>
      </c>
      <c r="D165" t="s">
        <v>283</v>
      </c>
      <c r="F165" t="s">
        <v>122</v>
      </c>
    </row>
    <row r="166" spans="1:8" x14ac:dyDescent="0.25">
      <c r="A166" t="s">
        <v>523</v>
      </c>
      <c r="B166" t="s">
        <v>524</v>
      </c>
      <c r="C166" t="s">
        <v>183</v>
      </c>
    </row>
    <row r="167" spans="1:8" x14ac:dyDescent="0.25">
      <c r="A167" t="s">
        <v>525</v>
      </c>
      <c r="B167" t="s">
        <v>526</v>
      </c>
    </row>
    <row r="168" spans="1:8" x14ac:dyDescent="0.25">
      <c r="A168" t="s">
        <v>527</v>
      </c>
      <c r="B168" t="s">
        <v>528</v>
      </c>
    </row>
    <row r="169" spans="1:8" x14ac:dyDescent="0.25">
      <c r="A169" t="s">
        <v>529</v>
      </c>
      <c r="B169" t="s">
        <v>530</v>
      </c>
    </row>
    <row r="170" spans="1:8" x14ac:dyDescent="0.25">
      <c r="A170" t="s">
        <v>531</v>
      </c>
      <c r="B170" t="s">
        <v>532</v>
      </c>
      <c r="F170" t="s">
        <v>187</v>
      </c>
    </row>
    <row r="171" spans="1:8" x14ac:dyDescent="0.25">
      <c r="A171" t="s">
        <v>533</v>
      </c>
      <c r="B171" t="s">
        <v>534</v>
      </c>
      <c r="C171" t="s">
        <v>380</v>
      </c>
    </row>
  </sheetData>
  <pageMargins left="0.7" right="0.7" top="0.75" bottom="0.75" header="0.3" footer="0.3"/>
  <ignoredErrors>
    <ignoredError sqref="A1:B1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inequality_index_gini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2026-04-09T12:43:20Z</dcterms:modified>
</cp:coreProperties>
</file>