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nor\OneDrive\Рабочий стол\Lessons\6-semestr\Интеллектуальный анализ данных\Лабораторные работы\ЛР3\"/>
    </mc:Choice>
  </mc:AlternateContent>
  <xr:revisionPtr revIDLastSave="0" documentId="13_ncr:1_{3EA14556-FA0C-4C0C-9007-D7767F67E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1" r:id="rId1"/>
    <sheet name="Страны_СредняяЗП" sheetId="2" r:id="rId2"/>
    <sheet name="Страны_СредняяЗП_в_Колонку" sheetId="3" r:id="rId3"/>
    <sheet name="Лист1" sheetId="4" r:id="rId4"/>
    <sheet name="Лист6" sheetId="9" r:id="rId5"/>
    <sheet name="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2" i="1"/>
  <c r="M3" i="1"/>
  <c r="M4" i="1"/>
  <c r="M5" i="1"/>
  <c r="K2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2" i="1"/>
</calcChain>
</file>

<file path=xl/sharedStrings.xml><?xml version="1.0" encoding="utf-8"?>
<sst xmlns="http://schemas.openxmlformats.org/spreadsheetml/2006/main" count="600" uniqueCount="326">
  <si>
    <t>Страна</t>
  </si>
  <si>
    <t>Индекс счастья</t>
  </si>
  <si>
    <t>Продолжительность жизни</t>
  </si>
  <si>
    <t>alb</t>
  </si>
  <si>
    <t>arg</t>
  </si>
  <si>
    <t>arm</t>
  </si>
  <si>
    <t>ben</t>
  </si>
  <si>
    <t>bfa</t>
  </si>
  <si>
    <t>bgd</t>
  </si>
  <si>
    <t>bgr</t>
  </si>
  <si>
    <t>bih</t>
  </si>
  <si>
    <t>blr</t>
  </si>
  <si>
    <t>bol</t>
  </si>
  <si>
    <t>bra</t>
  </si>
  <si>
    <t>bwa</t>
  </si>
  <si>
    <t>chl</t>
  </si>
  <si>
    <t>chn</t>
  </si>
  <si>
    <t>col</t>
  </si>
  <si>
    <t>com</t>
  </si>
  <si>
    <t>cri</t>
  </si>
  <si>
    <t>dom</t>
  </si>
  <si>
    <t>dza</t>
  </si>
  <si>
    <t>ecu</t>
  </si>
  <si>
    <t>egy</t>
  </si>
  <si>
    <t>geo</t>
  </si>
  <si>
    <t>gha</t>
  </si>
  <si>
    <t>gin</t>
  </si>
  <si>
    <t>gmb</t>
  </si>
  <si>
    <t>gtm</t>
  </si>
  <si>
    <t>hnd</t>
  </si>
  <si>
    <t>hun</t>
  </si>
  <si>
    <t>idn</t>
  </si>
  <si>
    <t>isr</t>
  </si>
  <si>
    <t>jam</t>
  </si>
  <si>
    <t>jor</t>
  </si>
  <si>
    <t>ken</t>
  </si>
  <si>
    <t>kgz</t>
  </si>
  <si>
    <t>khm</t>
  </si>
  <si>
    <t>kor</t>
  </si>
  <si>
    <t>kwt</t>
  </si>
  <si>
    <t>lso</t>
  </si>
  <si>
    <t>mar</t>
  </si>
  <si>
    <t>mda</t>
  </si>
  <si>
    <t>mdg</t>
  </si>
  <si>
    <t>mex</t>
  </si>
  <si>
    <t>mkd</t>
  </si>
  <si>
    <t>mmr</t>
  </si>
  <si>
    <t>mne</t>
  </si>
  <si>
    <t>mng</t>
  </si>
  <si>
    <t>moz</t>
  </si>
  <si>
    <t>mus</t>
  </si>
  <si>
    <t>mys</t>
  </si>
  <si>
    <t>nam</t>
  </si>
  <si>
    <t>nga</t>
  </si>
  <si>
    <t>nic</t>
  </si>
  <si>
    <t>nor</t>
  </si>
  <si>
    <t>nzl</t>
  </si>
  <si>
    <t>pak</t>
  </si>
  <si>
    <t>per</t>
  </si>
  <si>
    <t>pry</t>
  </si>
  <si>
    <t>pse</t>
  </si>
  <si>
    <t>rou</t>
  </si>
  <si>
    <t>rus</t>
  </si>
  <si>
    <t>rwa</t>
  </si>
  <si>
    <t>sgp</t>
  </si>
  <si>
    <t>sle</t>
  </si>
  <si>
    <t>swz</t>
  </si>
  <si>
    <t>tha</t>
  </si>
  <si>
    <t>tur</t>
  </si>
  <si>
    <t>tza</t>
  </si>
  <si>
    <t>ukr</t>
  </si>
  <si>
    <t>ury</t>
  </si>
  <si>
    <t>uzb</t>
  </si>
  <si>
    <t>vnm</t>
  </si>
  <si>
    <t>zaf</t>
  </si>
  <si>
    <t>zmb</t>
  </si>
  <si>
    <t>zwe</t>
  </si>
  <si>
    <t>Средняя зарплата</t>
  </si>
  <si>
    <t>Детская смертность</t>
  </si>
  <si>
    <t>ВВП на душу населения</t>
  </si>
  <si>
    <t>Монетизация экономики</t>
  </si>
  <si>
    <t>Afghanistan</t>
  </si>
  <si>
    <t>5.3278</t>
  </si>
  <si>
    <t>5.041</t>
  </si>
  <si>
    <t>3.9025</t>
  </si>
  <si>
    <t>3.6068</t>
  </si>
  <si>
    <t>3.6107</t>
  </si>
  <si>
    <t>3.7066</t>
  </si>
  <si>
    <t>Angola</t>
  </si>
  <si>
    <t>5.9687</t>
  </si>
  <si>
    <t>5.4511</t>
  </si>
  <si>
    <t>5.3437</t>
  </si>
  <si>
    <t>5.3361</t>
  </si>
  <si>
    <t>5.23</t>
  </si>
  <si>
    <t>5.2976</t>
  </si>
  <si>
    <t>Albania</t>
  </si>
  <si>
    <t>14.6318</t>
  </si>
  <si>
    <t>14.8472</t>
  </si>
  <si>
    <t>16.3295</t>
  </si>
  <si>
    <t>17.3271</t>
  </si>
  <si>
    <t>18.2172</t>
  </si>
  <si>
    <t>19.1577</t>
  </si>
  <si>
    <t>Andorra</t>
  </si>
  <si>
    <t>62.2713</t>
  </si>
  <si>
    <t>54.6593</t>
  </si>
  <si>
    <t>58.4456</t>
  </si>
  <si>
    <t>62.9583</t>
  </si>
  <si>
    <t>63.6655</t>
  </si>
  <si>
    <t>64.9431</t>
  </si>
  <si>
    <t>UAE</t>
  </si>
  <si>
    <t>81.2197</t>
  </si>
  <si>
    <t>77.5611</t>
  </si>
  <si>
    <t>79.4669</t>
  </si>
  <si>
    <t>81.1961</t>
  </si>
  <si>
    <t>80.8539</t>
  </si>
  <si>
    <t>80.8623</t>
  </si>
  <si>
    <t>Argentina</t>
  </si>
  <si>
    <t>25.9162</t>
  </si>
  <si>
    <t>23.2375</t>
  </si>
  <si>
    <t>25.5958</t>
  </si>
  <si>
    <t>26.8879</t>
  </si>
  <si>
    <t>26.3789</t>
  </si>
  <si>
    <t>25.8359</t>
  </si>
  <si>
    <t>Armenia</t>
  </si>
  <si>
    <t>9.0877</t>
  </si>
  <si>
    <t>8.5898</t>
  </si>
  <si>
    <t>8.9416</t>
  </si>
  <si>
    <t>8.8647</t>
  </si>
  <si>
    <t>8.8485</t>
  </si>
  <si>
    <t>9.1568</t>
  </si>
  <si>
    <t>Antigua and Barbuda</t>
  </si>
  <si>
    <t>28.7111</t>
  </si>
  <si>
    <t>23.1714</t>
  </si>
  <si>
    <t>24.9287</t>
  </si>
  <si>
    <t>27.0553</t>
  </si>
  <si>
    <t>27.5707</t>
  </si>
  <si>
    <t>28.6239</t>
  </si>
  <si>
    <t>Australia</t>
  </si>
  <si>
    <t>70.7727</t>
  </si>
  <si>
    <t>69.8215</t>
  </si>
  <si>
    <t>71.1952</t>
  </si>
  <si>
    <t>73.277</t>
  </si>
  <si>
    <t>73.9836</t>
  </si>
  <si>
    <t>73.5197</t>
  </si>
  <si>
    <t>Austria</t>
  </si>
  <si>
    <t>78.6956</t>
  </si>
  <si>
    <t>78.8999</t>
  </si>
  <si>
    <t>78.7537</t>
  </si>
  <si>
    <t>82.4267</t>
  </si>
  <si>
    <t>80.8358</t>
  </si>
  <si>
    <t>79.4805</t>
  </si>
  <si>
    <t>Azerbaijan</t>
  </si>
  <si>
    <t>22.5363</t>
  </si>
  <si>
    <t>21.4427</t>
  </si>
  <si>
    <t>22.5474</t>
  </si>
  <si>
    <t>23.6011</t>
  </si>
  <si>
    <t>23.892</t>
  </si>
  <si>
    <t>24.7456</t>
  </si>
  <si>
    <t>Burundi</t>
  </si>
  <si>
    <t>2.6089</t>
  </si>
  <si>
    <t>2.6171</t>
  </si>
  <si>
    <t>2.6257</t>
  </si>
  <si>
    <t>2.6029</t>
  </si>
  <si>
    <t>2.6004</t>
  </si>
  <si>
    <t>2.6225</t>
  </si>
  <si>
    <t>Belgium</t>
  </si>
  <si>
    <t>68.4186</t>
  </si>
  <si>
    <t>68.1417</t>
  </si>
  <si>
    <t>70.8382</t>
  </si>
  <si>
    <t>68.3912</t>
  </si>
  <si>
    <t>68.5835</t>
  </si>
  <si>
    <t>68.7607</t>
  </si>
  <si>
    <t>Benin</t>
  </si>
  <si>
    <t>5.0123</t>
  </si>
  <si>
    <t>5.138</t>
  </si>
  <si>
    <t>5.2668</t>
  </si>
  <si>
    <t>5.4554</t>
  </si>
  <si>
    <t>5.6574</t>
  </si>
  <si>
    <t>5.9313</t>
  </si>
  <si>
    <t>Burkina Faso</t>
  </si>
  <si>
    <t>4.5779</t>
  </si>
  <si>
    <t>4.5247</t>
  </si>
  <si>
    <t>4.4721</t>
  </si>
  <si>
    <t>4.4354</t>
  </si>
  <si>
    <t>4.4643</t>
  </si>
  <si>
    <t>4.5827</t>
  </si>
  <si>
    <t>Bangladesh</t>
  </si>
  <si>
    <t>6.4967</t>
  </si>
  <si>
    <t>6.8184</t>
  </si>
  <si>
    <t>7.1559</t>
  </si>
  <si>
    <t>7.5102</t>
  </si>
  <si>
    <t>7.8475</t>
  </si>
  <si>
    <t>8.0802</t>
  </si>
  <si>
    <t>Bulgaria</t>
  </si>
  <si>
    <t>30.1493</t>
  </si>
  <si>
    <t>33.9415</t>
  </si>
  <si>
    <t>33.4834</t>
  </si>
  <si>
    <t>35.4106</t>
  </si>
  <si>
    <t>36.1823</t>
  </si>
  <si>
    <t>37.2122</t>
  </si>
  <si>
    <t>Bahrain</t>
  </si>
  <si>
    <t>55.4546</t>
  </si>
  <si>
    <t>52.5859</t>
  </si>
  <si>
    <t>53.7003</t>
  </si>
  <si>
    <t>56.2589</t>
  </si>
  <si>
    <t>56.5001</t>
  </si>
  <si>
    <t>57.7795</t>
  </si>
  <si>
    <t>Bahamas</t>
  </si>
  <si>
    <t>31.9935</t>
  </si>
  <si>
    <t>25.4894</t>
  </si>
  <si>
    <t>29.9336</t>
  </si>
  <si>
    <t>33.0924</t>
  </si>
  <si>
    <t>33.9389</t>
  </si>
  <si>
    <t>34.9244</t>
  </si>
  <si>
    <t>Bosnia and Herzegovina</t>
  </si>
  <si>
    <t>31.0359</t>
  </si>
  <si>
    <t>30.5215</t>
  </si>
  <si>
    <t>33.3269</t>
  </si>
  <si>
    <t>35.1703</t>
  </si>
  <si>
    <t>36.0939</t>
  </si>
  <si>
    <t>37.2324</t>
  </si>
  <si>
    <t>Belarus</t>
  </si>
  <si>
    <t>20.4058</t>
  </si>
  <si>
    <t>20.5472</t>
  </si>
  <si>
    <t>21.2234</t>
  </si>
  <si>
    <t>20.3981</t>
  </si>
  <si>
    <t>21.355</t>
  </si>
  <si>
    <t>22.3198</t>
  </si>
  <si>
    <t>Belize</t>
  </si>
  <si>
    <t>20.4718</t>
  </si>
  <si>
    <t>17.4009</t>
  </si>
  <si>
    <t>20.2539</t>
  </si>
  <si>
    <t>21.8016</t>
  </si>
  <si>
    <t>21.603</t>
  </si>
  <si>
    <t>23.0298</t>
  </si>
  <si>
    <t>Bolivia</t>
  </si>
  <si>
    <t>22.1584</t>
  </si>
  <si>
    <t>22.1432</t>
  </si>
  <si>
    <t>22.0928</t>
  </si>
  <si>
    <t>21.7198</t>
  </si>
  <si>
    <t>22.9324</t>
  </si>
  <si>
    <t>22.9331</t>
  </si>
  <si>
    <t>Brazil</t>
  </si>
  <si>
    <t>24.1099</t>
  </si>
  <si>
    <t>24.0204</t>
  </si>
  <si>
    <t>21.8979</t>
  </si>
  <si>
    <t>24.361</t>
  </si>
  <si>
    <t>25.5327</t>
  </si>
  <si>
    <t>26.2929</t>
  </si>
  <si>
    <t>Barbados</t>
  </si>
  <si>
    <t>18.2389</t>
  </si>
  <si>
    <t>15.4662</t>
  </si>
  <si>
    <t>15.4022</t>
  </si>
  <si>
    <t>18.1378</t>
  </si>
  <si>
    <t>18.8792</t>
  </si>
  <si>
    <t>19.5875</t>
  </si>
  <si>
    <t>Brunei</t>
  </si>
  <si>
    <t>80.4298</t>
  </si>
  <si>
    <t>80.4827</t>
  </si>
  <si>
    <t>78.4455</t>
  </si>
  <si>
    <t>76.5498</t>
  </si>
  <si>
    <t>76.8093</t>
  </si>
  <si>
    <t>79.3831</t>
  </si>
  <si>
    <t>Bhutan</t>
  </si>
  <si>
    <t>14.3771</t>
  </si>
  <si>
    <t>15.5166</t>
  </si>
  <si>
    <t>16.7464</t>
  </si>
  <si>
    <t>18.0737</t>
  </si>
  <si>
    <t>18.8243</t>
  </si>
  <si>
    <t>19.9294</t>
  </si>
  <si>
    <t>Botswana</t>
  </si>
  <si>
    <t>12.5594</t>
  </si>
  <si>
    <t>11.2993</t>
  </si>
  <si>
    <t>12.4585</t>
  </si>
  <si>
    <t>12.9349</t>
  </si>
  <si>
    <t>13.1327</t>
  </si>
  <si>
    <t>12.5334</t>
  </si>
  <si>
    <t>Central African Republic</t>
  </si>
  <si>
    <t>2.8851</t>
  </si>
  <si>
    <t>2.8182</t>
  </si>
  <si>
    <t>2.7529</t>
  </si>
  <si>
    <t>2.773</t>
  </si>
  <si>
    <t>2.763</t>
  </si>
  <si>
    <t>2.7117</t>
  </si>
  <si>
    <t>Canada</t>
  </si>
  <si>
    <t>73.5657</t>
  </si>
  <si>
    <t>77.792</t>
  </si>
  <si>
    <t>81.9657</t>
  </si>
  <si>
    <t>83.8726</t>
  </si>
  <si>
    <t>82.7169</t>
  </si>
  <si>
    <t>81.5297</t>
  </si>
  <si>
    <t>Switzerland</t>
  </si>
  <si>
    <t>87.4547</t>
  </si>
  <si>
    <t>88.4123</t>
  </si>
  <si>
    <t>89.5076</t>
  </si>
  <si>
    <t>91.4699</t>
  </si>
  <si>
    <t>90.9448</t>
  </si>
  <si>
    <t>90.6402</t>
  </si>
  <si>
    <t>Chile</t>
  </si>
  <si>
    <t>29.5034</t>
  </si>
  <si>
    <t>29.5376</t>
  </si>
  <si>
    <t>31.1108</t>
  </si>
  <si>
    <t>32.7678</t>
  </si>
  <si>
    <t>32.7614</t>
  </si>
  <si>
    <t>33.4475</t>
  </si>
  <si>
    <t>До 15</t>
  </si>
  <si>
    <t>До 45</t>
  </si>
  <si>
    <t>От 45</t>
  </si>
  <si>
    <t>Сумма</t>
  </si>
  <si>
    <t>Среднее</t>
  </si>
  <si>
    <t>Однофакторный дисперсионный анализ</t>
  </si>
  <si>
    <t>ИТОГИ</t>
  </si>
  <si>
    <t>Группы</t>
  </si>
  <si>
    <t>Счет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</si>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</sst>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12">
    <xf numFmtId="0" fontId="0" fillId="0" borderId="0" xfId="0"/>
    <xf numFmtId="0" fontId="1" fillId="2" borderId="1" xfId="1" applyAlignment="1">
      <alignment horizontal="center" vertical="center" wrapText="1"/>
    </xf>
    <xf numFmtId="0" fontId="1" fillId="2" borderId="0" xfId="1" applyBorder="1"/>
    <xf numFmtId="0" fontId="1" fillId="2" borderId="1" xfId="1" applyAlignment="1">
      <alignment horizontal="left" vertical="center"/>
    </xf>
    <xf numFmtId="0" fontId="1" fillId="2" borderId="2" xfId="1" applyBorder="1" applyAlignment="1">
      <alignment horizontal="center" vertical="center" wrapText="1"/>
    </xf>
    <xf numFmtId="2" fontId="0" fillId="0" borderId="0" xfId="0" applyNumberFormat="1"/>
    <xf numFmtId="0" fontId="1" fillId="2" borderId="1" xfId="1" applyNumberFormat="1" applyAlignment="1">
      <alignment horizontal="left" vertical="center"/>
    </xf>
    <xf numFmtId="2" fontId="1" fillId="2" borderId="1" xfId="1" applyNumberFormat="1" applyAlignment="1">
      <alignment horizontal="left" vertical="center"/>
    </xf>
    <xf numFmtId="0" fontId="1" fillId="2" borderId="3" xfId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</cellXfs>
  <cellStyles count="3">
    <cellStyle name="Вывод" xfId="1" builtinId="21"/>
    <cellStyle name="Обычный" xfId="0" builtinId="0"/>
    <cellStyle name="Обычный 2" xfId="2" xr:uid="{A36A347A-F292-4748-875D-9062A2E8BF18}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topLeftCell="C1" workbookViewId="0">
      <selection activeCell="F79" sqref="F79"/>
    </sheetView>
  </sheetViews>
  <sheetFormatPr defaultRowHeight="14.4" x14ac:dyDescent="0.3"/>
  <cols>
    <col min="1" max="1" width="12.33203125" bestFit="1" customWidth="1"/>
    <col min="2" max="2" width="18.44140625" customWidth="1"/>
    <col min="3" max="3" width="19.5546875" customWidth="1"/>
    <col min="4" max="4" width="15.88671875" customWidth="1"/>
    <col min="5" max="5" width="42.33203125" customWidth="1"/>
    <col min="6" max="6" width="17.88671875" customWidth="1"/>
  </cols>
  <sheetData>
    <row r="1" spans="1:14" ht="28.8" x14ac:dyDescent="0.3">
      <c r="A1" s="1" t="s">
        <v>0</v>
      </c>
      <c r="B1" s="1" t="s">
        <v>2</v>
      </c>
      <c r="C1" s="1" t="s">
        <v>78</v>
      </c>
      <c r="D1" s="1" t="s">
        <v>1</v>
      </c>
      <c r="E1" s="1" t="s">
        <v>79</v>
      </c>
      <c r="F1" s="1" t="s">
        <v>80</v>
      </c>
      <c r="G1" s="4" t="s">
        <v>77</v>
      </c>
      <c r="I1" s="8" t="s">
        <v>305</v>
      </c>
      <c r="J1" s="8" t="s">
        <v>306</v>
      </c>
      <c r="K1" s="8" t="s">
        <v>307</v>
      </c>
    </row>
    <row r="2" spans="1:14" x14ac:dyDescent="0.3">
      <c r="A2" s="3" t="s">
        <v>39</v>
      </c>
      <c r="B2" s="7">
        <v>78.64</v>
      </c>
      <c r="C2" s="7">
        <v>8.85</v>
      </c>
      <c r="D2" s="7">
        <v>61.06</v>
      </c>
      <c r="E2" s="7">
        <v>49372.572950000002</v>
      </c>
      <c r="F2" s="7">
        <v>102.69132</v>
      </c>
      <c r="G2" s="5">
        <v>47.668300000000002</v>
      </c>
      <c r="I2">
        <f>IF(G2 &lt; 15,D2, 0)</f>
        <v>0</v>
      </c>
      <c r="J2">
        <f>IF(AND(G2 &lt; 45, G2&gt;15),D2, 0)</f>
        <v>0</v>
      </c>
      <c r="K2">
        <f>IF(G2&gt;45,D2, 0)</f>
        <v>61.06</v>
      </c>
      <c r="M2">
        <f t="shared" ref="M2:M65" si="0">IF(J2&lt;&gt;0,$J$1,0)</f>
        <v>0</v>
      </c>
      <c r="N2">
        <v>0</v>
      </c>
    </row>
    <row r="3" spans="1:14" x14ac:dyDescent="0.3">
      <c r="A3" s="3" t="s">
        <v>32</v>
      </c>
      <c r="B3" s="7">
        <v>82.55</v>
      </c>
      <c r="C3" s="7">
        <v>3.54</v>
      </c>
      <c r="D3" s="7">
        <v>73.319999999999993</v>
      </c>
      <c r="E3" s="7">
        <v>42915.94169</v>
      </c>
      <c r="F3" s="7">
        <v>105.24057000000001</v>
      </c>
      <c r="G3" s="5">
        <v>42.214599999999997</v>
      </c>
      <c r="I3">
        <f t="shared" ref="I3:I66" si="1">IF(G3 &lt; 15,D3, 0)</f>
        <v>0</v>
      </c>
      <c r="J3">
        <f>IF(AND(G3 &lt; 45, G3&gt;15),D3, 0)</f>
        <v>73.319999999999993</v>
      </c>
      <c r="K3">
        <f t="shared" ref="K3:K66" si="2">IF(G3&gt;45,D3, 0)</f>
        <v>0</v>
      </c>
      <c r="M3" t="str">
        <f t="shared" si="0"/>
        <v>До 45</v>
      </c>
      <c r="N3">
        <v>73.319999999999993</v>
      </c>
    </row>
    <row r="4" spans="1:14" x14ac:dyDescent="0.3">
      <c r="A4" s="3" t="s">
        <v>12</v>
      </c>
      <c r="B4" s="7">
        <v>68.430000000000007</v>
      </c>
      <c r="C4" s="7">
        <v>25.5</v>
      </c>
      <c r="D4" s="7">
        <v>56.74</v>
      </c>
      <c r="E4" s="7">
        <v>9000.9756500000003</v>
      </c>
      <c r="F4" s="7">
        <v>106.13681</v>
      </c>
      <c r="G4" s="5">
        <v>22.1432</v>
      </c>
      <c r="I4">
        <f t="shared" si="1"/>
        <v>0</v>
      </c>
      <c r="J4">
        <f t="shared" ref="J4:J67" si="3">IF(AND(G4 &lt; 45, G4&gt;15),D4, 0)</f>
        <v>56.74</v>
      </c>
      <c r="K4">
        <f t="shared" si="2"/>
        <v>0</v>
      </c>
      <c r="M4" t="str">
        <f t="shared" si="0"/>
        <v>До 45</v>
      </c>
      <c r="N4">
        <v>56.74</v>
      </c>
    </row>
    <row r="5" spans="1:14" x14ac:dyDescent="0.3">
      <c r="A5" s="3" t="s">
        <v>13</v>
      </c>
      <c r="B5" s="7">
        <v>74.510000000000005</v>
      </c>
      <c r="C5" s="7">
        <v>14.65</v>
      </c>
      <c r="D5" s="7">
        <v>64.510000000000005</v>
      </c>
      <c r="E5" s="7">
        <v>17327.515719999999</v>
      </c>
      <c r="F5" s="7">
        <v>109.15422</v>
      </c>
      <c r="G5" s="5">
        <v>24.020399999999999</v>
      </c>
      <c r="I5">
        <f t="shared" si="1"/>
        <v>0</v>
      </c>
      <c r="J5">
        <f t="shared" si="3"/>
        <v>64.510000000000005</v>
      </c>
      <c r="K5">
        <f t="shared" si="2"/>
        <v>0</v>
      </c>
      <c r="M5" t="str">
        <f>IF(J5&lt;&gt;0,$J$1,0)</f>
        <v>До 45</v>
      </c>
      <c r="N5">
        <v>64.510000000000005</v>
      </c>
    </row>
    <row r="6" spans="1:14" x14ac:dyDescent="0.3">
      <c r="A6" s="3" t="s">
        <v>56</v>
      </c>
      <c r="B6" s="7">
        <v>81.96</v>
      </c>
      <c r="C6" s="7">
        <v>4.8499999999999996</v>
      </c>
      <c r="D6" s="7">
        <v>72.05</v>
      </c>
      <c r="E6" s="7">
        <v>46104.605790000001</v>
      </c>
      <c r="F6" s="7">
        <v>111.34717999999999</v>
      </c>
      <c r="G6" s="5">
        <v>44.591700000000003</v>
      </c>
      <c r="I6">
        <f t="shared" si="1"/>
        <v>0</v>
      </c>
      <c r="J6">
        <f t="shared" si="3"/>
        <v>72.05</v>
      </c>
      <c r="K6">
        <f t="shared" si="2"/>
        <v>0</v>
      </c>
      <c r="M6" t="str">
        <f t="shared" si="0"/>
        <v>До 45</v>
      </c>
      <c r="N6">
        <v>72.05</v>
      </c>
    </row>
    <row r="7" spans="1:14" x14ac:dyDescent="0.3">
      <c r="A7" s="3" t="s">
        <v>34</v>
      </c>
      <c r="B7" s="7">
        <v>77.349999999999994</v>
      </c>
      <c r="C7" s="7">
        <v>15.01</v>
      </c>
      <c r="D7" s="7">
        <v>44.53</v>
      </c>
      <c r="E7" s="7">
        <v>9022.6393000000007</v>
      </c>
      <c r="F7" s="7">
        <v>114.50292</v>
      </c>
      <c r="G7" s="5">
        <v>14.273099999999999</v>
      </c>
      <c r="I7">
        <f t="shared" si="1"/>
        <v>44.53</v>
      </c>
      <c r="J7">
        <f t="shared" si="3"/>
        <v>0</v>
      </c>
      <c r="K7">
        <f t="shared" si="2"/>
        <v>0</v>
      </c>
      <c r="M7">
        <f t="shared" si="0"/>
        <v>0</v>
      </c>
      <c r="N7">
        <v>0</v>
      </c>
    </row>
    <row r="8" spans="1:14" x14ac:dyDescent="0.3">
      <c r="A8" s="3" t="s">
        <v>41</v>
      </c>
      <c r="B8" s="7">
        <v>73</v>
      </c>
      <c r="C8" s="7">
        <v>18.77</v>
      </c>
      <c r="D8" s="7">
        <v>50.57</v>
      </c>
      <c r="E8" s="7">
        <v>8054.5629900000004</v>
      </c>
      <c r="F8" s="7">
        <v>128.86314999999999</v>
      </c>
      <c r="G8" s="5">
        <v>11.8727</v>
      </c>
      <c r="I8">
        <f t="shared" si="1"/>
        <v>50.57</v>
      </c>
      <c r="J8">
        <f t="shared" si="3"/>
        <v>0</v>
      </c>
      <c r="K8">
        <f t="shared" si="2"/>
        <v>0</v>
      </c>
      <c r="M8">
        <f t="shared" si="0"/>
        <v>0</v>
      </c>
      <c r="N8">
        <v>0</v>
      </c>
    </row>
    <row r="9" spans="1:14" x14ac:dyDescent="0.3">
      <c r="A9" s="3" t="s">
        <v>51</v>
      </c>
      <c r="B9" s="7">
        <v>75.22</v>
      </c>
      <c r="C9" s="7">
        <v>8.6199999999999992</v>
      </c>
      <c r="D9" s="7">
        <v>54.28</v>
      </c>
      <c r="E9" s="7">
        <v>29200.45263</v>
      </c>
      <c r="F9" s="7">
        <v>137.09370999999999</v>
      </c>
      <c r="G9" s="5">
        <v>38.947499999999998</v>
      </c>
      <c r="I9">
        <f t="shared" si="1"/>
        <v>0</v>
      </c>
      <c r="J9">
        <f t="shared" si="3"/>
        <v>54.28</v>
      </c>
      <c r="K9">
        <f t="shared" si="2"/>
        <v>0</v>
      </c>
      <c r="M9" t="str">
        <f t="shared" si="0"/>
        <v>До 45</v>
      </c>
      <c r="N9">
        <v>54.28</v>
      </c>
    </row>
    <row r="10" spans="1:14" x14ac:dyDescent="0.3">
      <c r="A10" s="3" t="s">
        <v>76</v>
      </c>
      <c r="B10" s="7">
        <v>60.87</v>
      </c>
      <c r="C10" s="7">
        <v>53.35</v>
      </c>
      <c r="D10" s="7">
        <v>26.94</v>
      </c>
      <c r="E10" s="7">
        <v>2987.2684100000001</v>
      </c>
      <c r="F10" s="7">
        <v>14.87153</v>
      </c>
      <c r="G10" s="5">
        <v>4.6841999999999997</v>
      </c>
      <c r="I10">
        <f t="shared" si="1"/>
        <v>26.94</v>
      </c>
      <c r="J10">
        <f t="shared" si="3"/>
        <v>0</v>
      </c>
      <c r="K10">
        <f t="shared" si="2"/>
        <v>0</v>
      </c>
      <c r="M10">
        <f t="shared" si="0"/>
        <v>0</v>
      </c>
      <c r="N10">
        <v>0</v>
      </c>
    </row>
    <row r="11" spans="1:14" x14ac:dyDescent="0.3">
      <c r="A11" s="3" t="s">
        <v>73</v>
      </c>
      <c r="B11" s="7">
        <v>75.75</v>
      </c>
      <c r="C11" s="7">
        <v>20.95</v>
      </c>
      <c r="D11" s="7">
        <v>54.67</v>
      </c>
      <c r="E11" s="7">
        <v>11851.396570000001</v>
      </c>
      <c r="F11" s="7">
        <v>140.60368</v>
      </c>
      <c r="G11" s="5">
        <v>17.5046</v>
      </c>
      <c r="I11">
        <f t="shared" si="1"/>
        <v>0</v>
      </c>
      <c r="J11">
        <f t="shared" si="3"/>
        <v>54.67</v>
      </c>
      <c r="K11">
        <f t="shared" si="2"/>
        <v>0</v>
      </c>
      <c r="M11" t="str">
        <f t="shared" si="0"/>
        <v>До 45</v>
      </c>
      <c r="N11">
        <v>54.67</v>
      </c>
    </row>
    <row r="12" spans="1:14" x14ac:dyDescent="0.3">
      <c r="A12" s="3" t="s">
        <v>67</v>
      </c>
      <c r="B12" s="7">
        <v>78.72</v>
      </c>
      <c r="C12" s="7">
        <v>8.65</v>
      </c>
      <c r="D12" s="7">
        <v>60.22</v>
      </c>
      <c r="E12" s="7">
        <v>19957.257140000002</v>
      </c>
      <c r="F12" s="7">
        <v>146.59352999999999</v>
      </c>
      <c r="G12" s="5">
        <v>18.9941</v>
      </c>
      <c r="I12">
        <f t="shared" si="1"/>
        <v>0</v>
      </c>
      <c r="J12">
        <f t="shared" si="3"/>
        <v>60.22</v>
      </c>
      <c r="K12">
        <f t="shared" si="2"/>
        <v>0</v>
      </c>
      <c r="M12" t="str">
        <f t="shared" si="0"/>
        <v>До 45</v>
      </c>
      <c r="N12">
        <v>60.22</v>
      </c>
    </row>
    <row r="13" spans="1:14" x14ac:dyDescent="0.3">
      <c r="A13" s="3" t="s">
        <v>64</v>
      </c>
      <c r="B13" s="7">
        <v>83.94</v>
      </c>
      <c r="C13" s="7">
        <v>2.23</v>
      </c>
      <c r="D13" s="7">
        <v>63.78</v>
      </c>
      <c r="E13" s="7">
        <v>115893.04240000001</v>
      </c>
      <c r="F13" s="7">
        <v>148.61811</v>
      </c>
      <c r="G13" s="5">
        <v>125.4355</v>
      </c>
      <c r="I13">
        <f t="shared" si="1"/>
        <v>0</v>
      </c>
      <c r="J13">
        <f t="shared" si="3"/>
        <v>0</v>
      </c>
      <c r="K13">
        <f t="shared" si="2"/>
        <v>63.78</v>
      </c>
      <c r="M13">
        <f t="shared" si="0"/>
        <v>0</v>
      </c>
      <c r="N13">
        <v>0</v>
      </c>
    </row>
    <row r="14" spans="1:14" x14ac:dyDescent="0.3">
      <c r="A14" s="3" t="s">
        <v>50</v>
      </c>
      <c r="B14" s="7">
        <v>74.69</v>
      </c>
      <c r="C14" s="7">
        <v>16.510000000000002</v>
      </c>
      <c r="D14" s="7">
        <v>62.41</v>
      </c>
      <c r="E14" s="7">
        <v>21994.665980000002</v>
      </c>
      <c r="F14" s="7">
        <v>156.74615</v>
      </c>
      <c r="G14" s="5">
        <v>16.008900000000001</v>
      </c>
      <c r="I14">
        <f t="shared" si="1"/>
        <v>0</v>
      </c>
      <c r="J14">
        <f t="shared" si="3"/>
        <v>62.41</v>
      </c>
      <c r="K14">
        <f t="shared" si="2"/>
        <v>0</v>
      </c>
      <c r="M14" t="str">
        <f t="shared" si="0"/>
        <v>До 45</v>
      </c>
      <c r="N14">
        <v>62.41</v>
      </c>
    </row>
    <row r="15" spans="1:14" x14ac:dyDescent="0.3">
      <c r="A15" s="3" t="s">
        <v>72</v>
      </c>
      <c r="B15" s="7">
        <v>67.47</v>
      </c>
      <c r="C15" s="7">
        <v>13.95</v>
      </c>
      <c r="D15" s="7">
        <v>61.54</v>
      </c>
      <c r="E15" s="7">
        <v>8727.4110500000006</v>
      </c>
      <c r="F15" s="7">
        <v>16.767320000000002</v>
      </c>
      <c r="G15" s="5">
        <v>10.260300000000001</v>
      </c>
      <c r="I15">
        <f t="shared" si="1"/>
        <v>61.54</v>
      </c>
      <c r="J15">
        <f t="shared" si="3"/>
        <v>0</v>
      </c>
      <c r="K15">
        <f t="shared" si="2"/>
        <v>0</v>
      </c>
      <c r="M15">
        <f t="shared" si="0"/>
        <v>0</v>
      </c>
      <c r="N15">
        <v>0</v>
      </c>
    </row>
    <row r="16" spans="1:14" x14ac:dyDescent="0.3">
      <c r="A16" s="3" t="s">
        <v>38</v>
      </c>
      <c r="B16" s="7">
        <v>82.87</v>
      </c>
      <c r="C16" s="7">
        <v>3.05</v>
      </c>
      <c r="D16" s="7">
        <v>59.03</v>
      </c>
      <c r="E16" s="7">
        <v>46361.595780000003</v>
      </c>
      <c r="F16" s="7">
        <v>164.87826000000001</v>
      </c>
      <c r="G16" s="5">
        <v>61.3264</v>
      </c>
      <c r="I16">
        <f t="shared" si="1"/>
        <v>0</v>
      </c>
      <c r="J16">
        <f t="shared" si="3"/>
        <v>0</v>
      </c>
      <c r="K16">
        <f t="shared" si="2"/>
        <v>59.03</v>
      </c>
      <c r="M16">
        <f t="shared" si="0"/>
        <v>0</v>
      </c>
      <c r="N16">
        <v>0</v>
      </c>
    </row>
    <row r="17" spans="1:14" x14ac:dyDescent="0.3">
      <c r="A17" s="3" t="s">
        <v>65</v>
      </c>
      <c r="B17" s="7">
        <v>61.27</v>
      </c>
      <c r="C17" s="7">
        <v>107.78</v>
      </c>
      <c r="D17" s="7">
        <v>34.47</v>
      </c>
      <c r="E17" s="7">
        <v>2755.1025199999999</v>
      </c>
      <c r="F17" s="7">
        <v>17.919219999999999</v>
      </c>
      <c r="G17" s="5">
        <v>4.3868</v>
      </c>
      <c r="I17">
        <f t="shared" si="1"/>
        <v>34.47</v>
      </c>
      <c r="J17">
        <f t="shared" si="3"/>
        <v>0</v>
      </c>
      <c r="K17">
        <f t="shared" si="2"/>
        <v>0</v>
      </c>
      <c r="M17">
        <f t="shared" si="0"/>
        <v>0</v>
      </c>
      <c r="N17">
        <v>0</v>
      </c>
    </row>
    <row r="18" spans="1:14" x14ac:dyDescent="0.3">
      <c r="A18" s="3" t="s">
        <v>69</v>
      </c>
      <c r="B18" s="7">
        <v>66.61</v>
      </c>
      <c r="C18" s="7">
        <v>48.72</v>
      </c>
      <c r="D18" s="7">
        <v>36.4</v>
      </c>
      <c r="E18" s="7">
        <v>3449.8215300000002</v>
      </c>
      <c r="F18" s="7">
        <v>19.74025</v>
      </c>
      <c r="G18" s="5">
        <v>4.2523</v>
      </c>
      <c r="I18">
        <f t="shared" si="1"/>
        <v>36.4</v>
      </c>
      <c r="J18">
        <f t="shared" si="3"/>
        <v>0</v>
      </c>
      <c r="K18">
        <f t="shared" si="2"/>
        <v>0</v>
      </c>
      <c r="M18">
        <f t="shared" si="0"/>
        <v>0</v>
      </c>
      <c r="N18">
        <v>0</v>
      </c>
    </row>
    <row r="19" spans="1:14" x14ac:dyDescent="0.3">
      <c r="A19" s="3" t="s">
        <v>16</v>
      </c>
      <c r="B19" s="7">
        <v>77.7</v>
      </c>
      <c r="C19" s="7">
        <v>7.35</v>
      </c>
      <c r="D19" s="7">
        <v>51.44</v>
      </c>
      <c r="E19" s="7">
        <v>19215.154170000002</v>
      </c>
      <c r="F19" s="7">
        <v>207.53029000000001</v>
      </c>
      <c r="G19" s="5">
        <v>15.1922</v>
      </c>
      <c r="I19">
        <f t="shared" si="1"/>
        <v>0</v>
      </c>
      <c r="J19">
        <f t="shared" si="3"/>
        <v>51.44</v>
      </c>
      <c r="K19">
        <f t="shared" si="2"/>
        <v>0</v>
      </c>
      <c r="M19" t="str">
        <f t="shared" si="0"/>
        <v>До 45</v>
      </c>
      <c r="N19">
        <v>51.44</v>
      </c>
    </row>
    <row r="20" spans="1:14" x14ac:dyDescent="0.3">
      <c r="A20" s="3" t="s">
        <v>63</v>
      </c>
      <c r="B20" s="7">
        <v>69</v>
      </c>
      <c r="C20" s="7">
        <v>40.43</v>
      </c>
      <c r="D20" s="7">
        <v>32.68</v>
      </c>
      <c r="E20" s="7">
        <v>2520.3173900000002</v>
      </c>
      <c r="F20" s="7">
        <v>25.147749999999998</v>
      </c>
      <c r="G20" s="5">
        <v>3.8130999999999999</v>
      </c>
      <c r="I20">
        <f t="shared" si="1"/>
        <v>32.68</v>
      </c>
      <c r="J20">
        <f t="shared" si="3"/>
        <v>0</v>
      </c>
      <c r="K20">
        <f t="shared" si="2"/>
        <v>0</v>
      </c>
      <c r="M20">
        <f t="shared" si="0"/>
        <v>0</v>
      </c>
      <c r="N20">
        <v>0</v>
      </c>
    </row>
    <row r="21" spans="1:14" x14ac:dyDescent="0.3">
      <c r="A21" s="3" t="s">
        <v>53</v>
      </c>
      <c r="B21" s="7">
        <v>64.31</v>
      </c>
      <c r="C21" s="7">
        <v>114.08</v>
      </c>
      <c r="D21" s="7">
        <v>42.66</v>
      </c>
      <c r="E21" s="7">
        <v>5410.69355</v>
      </c>
      <c r="F21" s="7">
        <v>25.221609999999998</v>
      </c>
      <c r="G21" s="5">
        <v>4.6158000000000001</v>
      </c>
      <c r="I21">
        <f t="shared" si="1"/>
        <v>42.66</v>
      </c>
      <c r="J21">
        <f t="shared" si="3"/>
        <v>0</v>
      </c>
      <c r="K21">
        <f t="shared" si="2"/>
        <v>0</v>
      </c>
      <c r="M21">
        <f t="shared" si="0"/>
        <v>0</v>
      </c>
      <c r="N21">
        <v>0</v>
      </c>
    </row>
    <row r="22" spans="1:14" x14ac:dyDescent="0.3">
      <c r="A22" s="3" t="s">
        <v>26</v>
      </c>
      <c r="B22" s="7">
        <v>60.84</v>
      </c>
      <c r="C22" s="7">
        <v>95.49</v>
      </c>
      <c r="D22" s="7">
        <v>47.68</v>
      </c>
      <c r="E22" s="7">
        <v>3630.9933099999998</v>
      </c>
      <c r="F22" s="7">
        <v>26.676369999999999</v>
      </c>
      <c r="G22" s="5">
        <v>6.8696999999999999</v>
      </c>
      <c r="I22">
        <f t="shared" si="1"/>
        <v>47.68</v>
      </c>
      <c r="J22">
        <f t="shared" si="3"/>
        <v>0</v>
      </c>
      <c r="K22">
        <f t="shared" si="2"/>
        <v>0</v>
      </c>
      <c r="M22">
        <f t="shared" si="0"/>
        <v>0</v>
      </c>
      <c r="N22">
        <v>0</v>
      </c>
    </row>
    <row r="23" spans="1:14" x14ac:dyDescent="0.3">
      <c r="A23" s="3" t="s">
        <v>43</v>
      </c>
      <c r="B23" s="7">
        <v>64.790000000000006</v>
      </c>
      <c r="C23" s="7">
        <v>50.26</v>
      </c>
      <c r="D23" s="7">
        <v>43.39</v>
      </c>
      <c r="E23" s="7">
        <v>1545.72714</v>
      </c>
      <c r="F23" s="7">
        <v>28.23752</v>
      </c>
      <c r="G23" s="5">
        <v>1.6366000000000001</v>
      </c>
      <c r="I23">
        <f t="shared" si="1"/>
        <v>43.39</v>
      </c>
      <c r="J23">
        <f t="shared" si="3"/>
        <v>0</v>
      </c>
      <c r="K23">
        <f t="shared" si="2"/>
        <v>0</v>
      </c>
      <c r="M23">
        <f t="shared" si="0"/>
        <v>0</v>
      </c>
      <c r="N23">
        <v>0</v>
      </c>
    </row>
    <row r="24" spans="1:14" x14ac:dyDescent="0.3">
      <c r="A24" s="3" t="s">
        <v>6</v>
      </c>
      <c r="B24" s="7">
        <v>64.099999999999994</v>
      </c>
      <c r="C24" s="7">
        <v>85.91</v>
      </c>
      <c r="D24" s="7">
        <v>49.76</v>
      </c>
      <c r="E24" s="7">
        <v>3317.8597199999999</v>
      </c>
      <c r="F24" s="7">
        <v>30.54665</v>
      </c>
      <c r="G24" s="5">
        <v>5.1379999999999999</v>
      </c>
      <c r="I24">
        <f t="shared" si="1"/>
        <v>49.76</v>
      </c>
      <c r="J24">
        <f t="shared" si="3"/>
        <v>0</v>
      </c>
      <c r="K24">
        <f t="shared" si="2"/>
        <v>0</v>
      </c>
      <c r="M24">
        <f t="shared" si="0"/>
        <v>0</v>
      </c>
      <c r="N24">
        <v>0</v>
      </c>
    </row>
    <row r="25" spans="1:14" x14ac:dyDescent="0.3">
      <c r="A25" s="3" t="s">
        <v>25</v>
      </c>
      <c r="B25" s="7">
        <v>65.67</v>
      </c>
      <c r="C25" s="7">
        <v>44.71</v>
      </c>
      <c r="D25" s="7">
        <v>49.67</v>
      </c>
      <c r="E25" s="7">
        <v>6412.6854199999998</v>
      </c>
      <c r="F25" s="7">
        <v>30.817319999999999</v>
      </c>
      <c r="G25" s="5">
        <v>5.7367999999999997</v>
      </c>
      <c r="I25">
        <f t="shared" si="1"/>
        <v>49.67</v>
      </c>
      <c r="J25">
        <f t="shared" si="3"/>
        <v>0</v>
      </c>
      <c r="K25">
        <f t="shared" si="2"/>
        <v>0</v>
      </c>
      <c r="M25">
        <f t="shared" si="0"/>
        <v>0</v>
      </c>
      <c r="N25">
        <v>0</v>
      </c>
    </row>
    <row r="26" spans="1:14" x14ac:dyDescent="0.3">
      <c r="A26" s="3" t="s">
        <v>75</v>
      </c>
      <c r="B26" s="7">
        <v>62.77</v>
      </c>
      <c r="C26" s="7">
        <v>61.11</v>
      </c>
      <c r="D26" s="7">
        <v>33.07</v>
      </c>
      <c r="E26" s="7">
        <v>3391.5954099999999</v>
      </c>
      <c r="F26" s="7">
        <v>31.205960000000001</v>
      </c>
      <c r="G26" s="5">
        <v>2.9946999999999999</v>
      </c>
      <c r="I26">
        <f t="shared" si="1"/>
        <v>33.07</v>
      </c>
      <c r="J26">
        <f t="shared" si="3"/>
        <v>0</v>
      </c>
      <c r="K26">
        <f t="shared" si="2"/>
        <v>0</v>
      </c>
      <c r="M26">
        <f t="shared" si="0"/>
        <v>0</v>
      </c>
      <c r="N26">
        <v>0</v>
      </c>
    </row>
    <row r="27" spans="1:14" x14ac:dyDescent="0.3">
      <c r="A27" s="3" t="s">
        <v>66</v>
      </c>
      <c r="B27" s="7">
        <v>57.43</v>
      </c>
      <c r="C27" s="7">
        <v>46.81</v>
      </c>
      <c r="D27" s="7">
        <v>43.96</v>
      </c>
      <c r="E27" s="7">
        <v>9727.5138999999999</v>
      </c>
      <c r="F27" s="7">
        <v>31.24578</v>
      </c>
      <c r="G27" s="5">
        <v>6.5157999999999996</v>
      </c>
      <c r="I27">
        <f t="shared" si="1"/>
        <v>43.96</v>
      </c>
      <c r="J27">
        <f t="shared" si="3"/>
        <v>0</v>
      </c>
      <c r="K27">
        <f t="shared" si="2"/>
        <v>0</v>
      </c>
      <c r="M27">
        <f t="shared" si="0"/>
        <v>0</v>
      </c>
      <c r="N27">
        <v>0</v>
      </c>
    </row>
    <row r="28" spans="1:14" x14ac:dyDescent="0.3">
      <c r="A28" s="3" t="s">
        <v>18</v>
      </c>
      <c r="B28" s="7">
        <v>68.83</v>
      </c>
      <c r="C28" s="7">
        <v>61.37</v>
      </c>
      <c r="D28" s="7">
        <v>46.09</v>
      </c>
      <c r="E28" s="7">
        <v>3424.5396900000001</v>
      </c>
      <c r="F28" s="7">
        <v>31.390509999999999</v>
      </c>
      <c r="G28" s="5">
        <v>7.0401999999999996</v>
      </c>
      <c r="I28">
        <f t="shared" si="1"/>
        <v>46.09</v>
      </c>
      <c r="J28">
        <f t="shared" si="3"/>
        <v>0</v>
      </c>
      <c r="K28">
        <f t="shared" si="2"/>
        <v>0</v>
      </c>
      <c r="M28">
        <f t="shared" si="0"/>
        <v>0</v>
      </c>
      <c r="N28">
        <v>0</v>
      </c>
    </row>
    <row r="29" spans="1:14" x14ac:dyDescent="0.3">
      <c r="A29" s="3" t="s">
        <v>11</v>
      </c>
      <c r="B29" s="7">
        <v>72.319999999999993</v>
      </c>
      <c r="C29" s="7">
        <v>2.91</v>
      </c>
      <c r="D29" s="7">
        <v>58.21</v>
      </c>
      <c r="E29" s="7">
        <v>26731.49538</v>
      </c>
      <c r="F29" s="7">
        <v>33.930259999999997</v>
      </c>
      <c r="G29" s="5">
        <v>20.5472</v>
      </c>
      <c r="I29">
        <f t="shared" si="1"/>
        <v>0</v>
      </c>
      <c r="J29">
        <f t="shared" si="3"/>
        <v>58.21</v>
      </c>
      <c r="K29">
        <f t="shared" si="2"/>
        <v>0</v>
      </c>
      <c r="M29" t="str">
        <f t="shared" si="0"/>
        <v>До 45</v>
      </c>
      <c r="N29">
        <v>58.21</v>
      </c>
    </row>
    <row r="30" spans="1:14" x14ac:dyDescent="0.3">
      <c r="A30" s="3" t="s">
        <v>4</v>
      </c>
      <c r="B30" s="7">
        <v>75.2</v>
      </c>
      <c r="C30" s="7">
        <v>8.74</v>
      </c>
      <c r="D30" s="7">
        <v>60.86</v>
      </c>
      <c r="E30" s="7">
        <v>23877.093140000001</v>
      </c>
      <c r="F30" s="7">
        <v>34.50526</v>
      </c>
      <c r="G30" s="5">
        <v>23.237500000000001</v>
      </c>
      <c r="I30">
        <f t="shared" si="1"/>
        <v>0</v>
      </c>
      <c r="J30">
        <f t="shared" si="3"/>
        <v>60.86</v>
      </c>
      <c r="K30">
        <f t="shared" si="2"/>
        <v>0</v>
      </c>
      <c r="M30" t="str">
        <f t="shared" si="0"/>
        <v>До 45</v>
      </c>
      <c r="N30">
        <v>60.86</v>
      </c>
    </row>
    <row r="31" spans="1:14" x14ac:dyDescent="0.3">
      <c r="A31" s="3" t="s">
        <v>54</v>
      </c>
      <c r="B31" s="7">
        <v>73.08</v>
      </c>
      <c r="C31" s="7">
        <v>16.03</v>
      </c>
      <c r="D31" s="7">
        <v>61.13</v>
      </c>
      <c r="E31" s="7">
        <v>6523.36985</v>
      </c>
      <c r="F31" s="7">
        <v>39.794629999999998</v>
      </c>
      <c r="G31" s="5">
        <v>12.550700000000001</v>
      </c>
      <c r="I31">
        <f t="shared" si="1"/>
        <v>61.13</v>
      </c>
      <c r="J31">
        <f t="shared" si="3"/>
        <v>0</v>
      </c>
      <c r="K31">
        <f t="shared" si="2"/>
        <v>0</v>
      </c>
      <c r="M31">
        <f t="shared" si="0"/>
        <v>0</v>
      </c>
      <c r="N31">
        <v>0</v>
      </c>
    </row>
    <row r="32" spans="1:14" x14ac:dyDescent="0.3">
      <c r="A32" s="3" t="s">
        <v>35</v>
      </c>
      <c r="B32" s="7">
        <v>66.23</v>
      </c>
      <c r="C32" s="7">
        <v>42.18</v>
      </c>
      <c r="D32" s="7">
        <v>46.19</v>
      </c>
      <c r="E32" s="7">
        <v>5057.4011499999997</v>
      </c>
      <c r="F32" s="7">
        <v>41.202579999999998</v>
      </c>
      <c r="G32" s="5">
        <v>4.2380000000000004</v>
      </c>
      <c r="I32">
        <f t="shared" si="1"/>
        <v>46.19</v>
      </c>
      <c r="J32">
        <f t="shared" si="3"/>
        <v>0</v>
      </c>
      <c r="K32">
        <f t="shared" si="2"/>
        <v>0</v>
      </c>
      <c r="M32">
        <f t="shared" si="0"/>
        <v>0</v>
      </c>
      <c r="N32">
        <v>0</v>
      </c>
    </row>
    <row r="33" spans="1:14" x14ac:dyDescent="0.3">
      <c r="A33" s="3" t="s">
        <v>40</v>
      </c>
      <c r="B33" s="7">
        <v>52.27</v>
      </c>
      <c r="C33" s="7">
        <v>89.5</v>
      </c>
      <c r="D33" s="7">
        <v>35.119999999999997</v>
      </c>
      <c r="E33" s="7">
        <v>2517.11042</v>
      </c>
      <c r="F33" s="7">
        <v>42.254519999999999</v>
      </c>
      <c r="G33" s="5">
        <v>4.4191000000000003</v>
      </c>
      <c r="I33">
        <f t="shared" si="1"/>
        <v>35.119999999999997</v>
      </c>
      <c r="J33">
        <f t="shared" si="3"/>
        <v>0</v>
      </c>
      <c r="K33">
        <f t="shared" si="2"/>
        <v>0</v>
      </c>
      <c r="M33">
        <f t="shared" si="0"/>
        <v>0</v>
      </c>
      <c r="N33">
        <v>0</v>
      </c>
    </row>
    <row r="34" spans="1:14" x14ac:dyDescent="0.3">
      <c r="A34" s="3" t="s">
        <v>20</v>
      </c>
      <c r="B34" s="7">
        <v>72.5</v>
      </c>
      <c r="C34" s="7">
        <v>33.74</v>
      </c>
      <c r="D34" s="7">
        <v>60.04</v>
      </c>
      <c r="E34" s="7">
        <v>19545.409960000001</v>
      </c>
      <c r="F34" s="7">
        <v>42.916350000000001</v>
      </c>
      <c r="G34" s="5">
        <v>18.1432</v>
      </c>
      <c r="I34">
        <f t="shared" si="1"/>
        <v>0</v>
      </c>
      <c r="J34">
        <f t="shared" si="3"/>
        <v>60.04</v>
      </c>
      <c r="K34">
        <f t="shared" si="2"/>
        <v>0</v>
      </c>
      <c r="M34" t="str">
        <f t="shared" si="0"/>
        <v>До 45</v>
      </c>
      <c r="N34">
        <v>60.04</v>
      </c>
    </row>
    <row r="35" spans="1:14" x14ac:dyDescent="0.3">
      <c r="A35" s="3" t="s">
        <v>44</v>
      </c>
      <c r="B35" s="7">
        <v>71.48</v>
      </c>
      <c r="C35" s="7">
        <v>13.67</v>
      </c>
      <c r="D35" s="7">
        <v>64.319999999999993</v>
      </c>
      <c r="E35" s="7">
        <v>19728.481779999998</v>
      </c>
      <c r="F35" s="7">
        <v>43.501379999999997</v>
      </c>
      <c r="G35" s="5">
        <v>15.417299999999999</v>
      </c>
      <c r="I35">
        <f t="shared" si="1"/>
        <v>0</v>
      </c>
      <c r="J35">
        <f t="shared" si="3"/>
        <v>64.319999999999993</v>
      </c>
      <c r="K35">
        <f t="shared" si="2"/>
        <v>0</v>
      </c>
      <c r="M35" t="str">
        <f t="shared" si="0"/>
        <v>До 45</v>
      </c>
      <c r="N35">
        <v>64.319999999999993</v>
      </c>
    </row>
    <row r="36" spans="1:14" x14ac:dyDescent="0.3">
      <c r="A36" s="3" t="s">
        <v>70</v>
      </c>
      <c r="B36" s="7">
        <v>71.89</v>
      </c>
      <c r="C36" s="7">
        <v>7.03</v>
      </c>
      <c r="D36" s="7">
        <v>47.02</v>
      </c>
      <c r="E36" s="7">
        <v>17092.539059999999</v>
      </c>
      <c r="F36" s="7">
        <v>43.817999999999998</v>
      </c>
      <c r="G36" s="5">
        <v>15.570499999999999</v>
      </c>
      <c r="I36">
        <f t="shared" si="1"/>
        <v>0</v>
      </c>
      <c r="J36">
        <f t="shared" si="3"/>
        <v>47.02</v>
      </c>
      <c r="K36">
        <f t="shared" si="2"/>
        <v>0</v>
      </c>
      <c r="M36" t="str">
        <f t="shared" si="0"/>
        <v>До 45</v>
      </c>
      <c r="N36">
        <v>47.02</v>
      </c>
    </row>
    <row r="37" spans="1:14" x14ac:dyDescent="0.3">
      <c r="A37" s="3" t="s">
        <v>36</v>
      </c>
      <c r="B37" s="7">
        <v>71.77</v>
      </c>
      <c r="C37" s="7">
        <v>17.54</v>
      </c>
      <c r="D37" s="7">
        <v>56.85</v>
      </c>
      <c r="E37" s="7">
        <v>5537.79547</v>
      </c>
      <c r="F37" s="7">
        <v>44.591720000000002</v>
      </c>
      <c r="G37" s="5">
        <v>6.2824</v>
      </c>
      <c r="I37">
        <f t="shared" si="1"/>
        <v>56.85</v>
      </c>
      <c r="J37">
        <f t="shared" si="3"/>
        <v>0</v>
      </c>
      <c r="K37">
        <f t="shared" si="2"/>
        <v>0</v>
      </c>
      <c r="M37">
        <f t="shared" si="0"/>
        <v>0</v>
      </c>
      <c r="N37">
        <v>0</v>
      </c>
    </row>
    <row r="38" spans="1:14" x14ac:dyDescent="0.3">
      <c r="A38" s="3" t="s">
        <v>31</v>
      </c>
      <c r="B38" s="7">
        <v>69.650000000000006</v>
      </c>
      <c r="C38" s="6">
        <v>23</v>
      </c>
      <c r="D38" s="7">
        <v>53.47</v>
      </c>
      <c r="E38" s="7">
        <v>12388.54493</v>
      </c>
      <c r="F38" s="7">
        <v>44.717869999999998</v>
      </c>
      <c r="G38" s="5">
        <v>7.7009999999999996</v>
      </c>
      <c r="I38">
        <f t="shared" si="1"/>
        <v>53.47</v>
      </c>
      <c r="J38">
        <f t="shared" si="3"/>
        <v>0</v>
      </c>
      <c r="K38">
        <f t="shared" si="2"/>
        <v>0</v>
      </c>
      <c r="M38">
        <f t="shared" si="0"/>
        <v>0</v>
      </c>
      <c r="N38">
        <v>0</v>
      </c>
    </row>
    <row r="39" spans="1:14" x14ac:dyDescent="0.3">
      <c r="A39" s="3" t="s">
        <v>61</v>
      </c>
      <c r="B39" s="7">
        <v>74.38</v>
      </c>
      <c r="C39" s="7">
        <v>6.75</v>
      </c>
      <c r="D39" s="7">
        <v>61.3</v>
      </c>
      <c r="E39" s="7">
        <v>35482.196309999999</v>
      </c>
      <c r="F39" s="7">
        <v>45.5625</v>
      </c>
      <c r="G39" s="5">
        <v>43.774999999999999</v>
      </c>
      <c r="I39">
        <f t="shared" si="1"/>
        <v>0</v>
      </c>
      <c r="J39">
        <f t="shared" si="3"/>
        <v>61.3</v>
      </c>
      <c r="K39">
        <f t="shared" si="2"/>
        <v>0</v>
      </c>
      <c r="M39" t="str">
        <f t="shared" si="0"/>
        <v>До 45</v>
      </c>
      <c r="N39">
        <v>61.3</v>
      </c>
    </row>
    <row r="40" spans="1:14" x14ac:dyDescent="0.3">
      <c r="A40" s="3" t="s">
        <v>7</v>
      </c>
      <c r="B40" s="7">
        <v>61.36</v>
      </c>
      <c r="C40" s="7">
        <v>84.9</v>
      </c>
      <c r="D40" s="7">
        <v>47.41</v>
      </c>
      <c r="E40" s="7">
        <v>2380.93172</v>
      </c>
      <c r="F40" s="7">
        <v>46.844619999999999</v>
      </c>
      <c r="G40" s="5">
        <v>4.5247000000000002</v>
      </c>
      <c r="I40">
        <f t="shared" si="1"/>
        <v>47.41</v>
      </c>
      <c r="J40">
        <f t="shared" si="3"/>
        <v>0</v>
      </c>
      <c r="K40">
        <f t="shared" si="2"/>
        <v>0</v>
      </c>
      <c r="M40">
        <f t="shared" si="0"/>
        <v>0</v>
      </c>
      <c r="N40">
        <v>0</v>
      </c>
    </row>
    <row r="41" spans="1:14" x14ac:dyDescent="0.3">
      <c r="A41" s="3" t="s">
        <v>22</v>
      </c>
      <c r="B41" s="7">
        <v>71.290000000000006</v>
      </c>
      <c r="C41" s="7">
        <v>12.93</v>
      </c>
      <c r="D41" s="7">
        <v>58.09</v>
      </c>
      <c r="E41" s="7">
        <v>12440.326370000001</v>
      </c>
      <c r="F41" s="7">
        <v>50.638750000000002</v>
      </c>
      <c r="G41" s="5">
        <v>16.164200000000001</v>
      </c>
      <c r="I41">
        <f t="shared" si="1"/>
        <v>0</v>
      </c>
      <c r="J41">
        <f t="shared" si="3"/>
        <v>58.09</v>
      </c>
      <c r="K41">
        <f t="shared" si="2"/>
        <v>0</v>
      </c>
      <c r="M41" t="str">
        <f t="shared" si="0"/>
        <v>До 45</v>
      </c>
      <c r="N41">
        <v>58.09</v>
      </c>
    </row>
    <row r="42" spans="1:14" x14ac:dyDescent="0.3">
      <c r="A42" s="3" t="s">
        <v>14</v>
      </c>
      <c r="B42" s="7">
        <v>62.42</v>
      </c>
      <c r="C42" s="7">
        <v>44.96</v>
      </c>
      <c r="D42" s="7">
        <v>34.71</v>
      </c>
      <c r="E42" s="7">
        <v>16289.39136</v>
      </c>
      <c r="F42" s="7">
        <v>52.373449999999998</v>
      </c>
      <c r="G42" s="5">
        <v>11.299300000000001</v>
      </c>
      <c r="I42">
        <f t="shared" si="1"/>
        <v>34.71</v>
      </c>
      <c r="J42">
        <f t="shared" si="3"/>
        <v>0</v>
      </c>
      <c r="K42">
        <f t="shared" si="2"/>
        <v>0</v>
      </c>
      <c r="M42">
        <f t="shared" si="0"/>
        <v>0</v>
      </c>
      <c r="N42">
        <v>0</v>
      </c>
    </row>
    <row r="43" spans="1:14" x14ac:dyDescent="0.3">
      <c r="A43" s="3" t="s">
        <v>27</v>
      </c>
      <c r="B43" s="7">
        <v>65.55</v>
      </c>
      <c r="C43" s="7">
        <v>49.39</v>
      </c>
      <c r="D43" s="7">
        <v>51.64</v>
      </c>
      <c r="E43" s="7">
        <v>2702.3191999999999</v>
      </c>
      <c r="F43" s="7">
        <v>52.939369999999997</v>
      </c>
      <c r="G43" s="5">
        <v>6.4661</v>
      </c>
      <c r="I43">
        <f t="shared" si="1"/>
        <v>51.64</v>
      </c>
      <c r="J43">
        <f t="shared" si="3"/>
        <v>0</v>
      </c>
      <c r="K43">
        <f t="shared" si="2"/>
        <v>0</v>
      </c>
      <c r="M43">
        <f t="shared" si="0"/>
        <v>0</v>
      </c>
      <c r="N43">
        <v>0</v>
      </c>
    </row>
    <row r="44" spans="1:14" x14ac:dyDescent="0.3">
      <c r="A44" s="3" t="s">
        <v>42</v>
      </c>
      <c r="B44" s="7">
        <v>73.52</v>
      </c>
      <c r="C44" s="7">
        <v>14.5</v>
      </c>
      <c r="D44" s="7">
        <v>58.03</v>
      </c>
      <c r="E44" s="7">
        <v>13559.26002</v>
      </c>
      <c r="F44" s="7">
        <v>53.887230000000002</v>
      </c>
      <c r="G44" s="5">
        <v>14.3863</v>
      </c>
      <c r="I44">
        <f t="shared" si="1"/>
        <v>58.03</v>
      </c>
      <c r="J44">
        <f t="shared" si="3"/>
        <v>0</v>
      </c>
      <c r="K44">
        <f t="shared" si="2"/>
        <v>0</v>
      </c>
      <c r="M44">
        <f t="shared" si="0"/>
        <v>0</v>
      </c>
      <c r="N44">
        <v>0</v>
      </c>
    </row>
    <row r="45" spans="1:14" x14ac:dyDescent="0.3">
      <c r="A45" s="3" t="s">
        <v>59</v>
      </c>
      <c r="B45" s="7">
        <v>76.150000000000006</v>
      </c>
      <c r="C45" s="7">
        <v>18.760000000000002</v>
      </c>
      <c r="D45" s="7">
        <v>56.53</v>
      </c>
      <c r="E45" s="7">
        <v>14991.660620000001</v>
      </c>
      <c r="F45" s="7">
        <v>54.177810000000001</v>
      </c>
      <c r="G45" s="5">
        <v>18.075199999999999</v>
      </c>
      <c r="I45">
        <f t="shared" si="1"/>
        <v>0</v>
      </c>
      <c r="J45">
        <f t="shared" si="3"/>
        <v>56.53</v>
      </c>
      <c r="K45">
        <f t="shared" si="2"/>
        <v>0</v>
      </c>
      <c r="M45" t="str">
        <f t="shared" si="0"/>
        <v>До 45</v>
      </c>
      <c r="N45">
        <v>56.53</v>
      </c>
    </row>
    <row r="46" spans="1:14" x14ac:dyDescent="0.3">
      <c r="A46" s="3" t="s">
        <v>5</v>
      </c>
      <c r="B46" s="7">
        <v>72.45</v>
      </c>
      <c r="C46" s="7">
        <v>10.93</v>
      </c>
      <c r="D46" s="7">
        <v>54.88</v>
      </c>
      <c r="E46" s="7">
        <v>15052.93598</v>
      </c>
      <c r="F46" s="7">
        <v>54.385170000000002</v>
      </c>
      <c r="G46" s="5">
        <v>8.5898000000000003</v>
      </c>
      <c r="I46">
        <f t="shared" si="1"/>
        <v>54.88</v>
      </c>
      <c r="J46">
        <f t="shared" si="3"/>
        <v>0</v>
      </c>
      <c r="K46">
        <f t="shared" si="2"/>
        <v>0</v>
      </c>
      <c r="M46">
        <f t="shared" si="0"/>
        <v>0</v>
      </c>
      <c r="N46">
        <v>0</v>
      </c>
    </row>
    <row r="47" spans="1:14" x14ac:dyDescent="0.3">
      <c r="A47" s="3" t="s">
        <v>57</v>
      </c>
      <c r="B47" s="7">
        <v>65.38</v>
      </c>
      <c r="C47" s="7">
        <v>65.23</v>
      </c>
      <c r="D47" s="7">
        <v>44.43</v>
      </c>
      <c r="E47" s="7">
        <v>5135.0145899999998</v>
      </c>
      <c r="F47" s="7">
        <v>54.526389999999999</v>
      </c>
      <c r="G47" s="5">
        <v>5.3072999999999997</v>
      </c>
      <c r="I47">
        <f t="shared" si="1"/>
        <v>44.43</v>
      </c>
      <c r="J47">
        <f t="shared" si="3"/>
        <v>0</v>
      </c>
      <c r="K47">
        <f t="shared" si="2"/>
        <v>0</v>
      </c>
      <c r="M47">
        <f t="shared" si="0"/>
        <v>0</v>
      </c>
      <c r="N47">
        <v>0</v>
      </c>
    </row>
    <row r="48" spans="1:14" x14ac:dyDescent="0.3">
      <c r="A48" s="3" t="s">
        <v>19</v>
      </c>
      <c r="B48" s="7">
        <v>79.92</v>
      </c>
      <c r="C48" s="7">
        <v>7.92</v>
      </c>
      <c r="D48" s="7">
        <v>69.98</v>
      </c>
      <c r="E48" s="7">
        <v>22211.861389999998</v>
      </c>
      <c r="F48" s="7">
        <v>54.865789999999997</v>
      </c>
      <c r="G48" s="5">
        <v>24.271100000000001</v>
      </c>
      <c r="I48">
        <f t="shared" si="1"/>
        <v>0</v>
      </c>
      <c r="J48">
        <f t="shared" si="3"/>
        <v>69.98</v>
      </c>
      <c r="K48">
        <f t="shared" si="2"/>
        <v>0</v>
      </c>
      <c r="M48" t="str">
        <f t="shared" si="0"/>
        <v>До 45</v>
      </c>
      <c r="N48">
        <v>69.98</v>
      </c>
    </row>
    <row r="49" spans="1:14" x14ac:dyDescent="0.3">
      <c r="A49" s="3" t="s">
        <v>8</v>
      </c>
      <c r="B49" s="7">
        <v>73.7</v>
      </c>
      <c r="C49" s="7">
        <v>29.1</v>
      </c>
      <c r="D49" s="7">
        <v>51.14</v>
      </c>
      <c r="E49" s="7">
        <v>7015.1979300000003</v>
      </c>
      <c r="F49" s="7">
        <v>57.763060000000003</v>
      </c>
      <c r="G49" s="5">
        <v>6.8183999999999996</v>
      </c>
      <c r="I49">
        <f t="shared" si="1"/>
        <v>51.14</v>
      </c>
      <c r="J49">
        <f t="shared" si="3"/>
        <v>0</v>
      </c>
      <c r="K49">
        <f t="shared" si="2"/>
        <v>0</v>
      </c>
      <c r="M49">
        <f t="shared" si="0"/>
        <v>0</v>
      </c>
      <c r="N49">
        <v>0</v>
      </c>
    </row>
    <row r="50" spans="1:14" x14ac:dyDescent="0.3">
      <c r="A50" s="3" t="s">
        <v>17</v>
      </c>
      <c r="B50" s="7">
        <v>78.12</v>
      </c>
      <c r="C50" s="7">
        <v>13.14</v>
      </c>
      <c r="D50" s="7">
        <v>63.5</v>
      </c>
      <c r="E50" s="7">
        <v>15861.49993</v>
      </c>
      <c r="F50" s="7">
        <v>58.278440000000003</v>
      </c>
      <c r="G50" s="5">
        <v>14.563700000000001</v>
      </c>
      <c r="I50">
        <f t="shared" si="1"/>
        <v>63.5</v>
      </c>
      <c r="J50">
        <f t="shared" si="3"/>
        <v>0</v>
      </c>
      <c r="K50">
        <f t="shared" si="2"/>
        <v>0</v>
      </c>
      <c r="M50">
        <f t="shared" si="0"/>
        <v>0</v>
      </c>
      <c r="N50">
        <v>0</v>
      </c>
    </row>
    <row r="51" spans="1:14" x14ac:dyDescent="0.3">
      <c r="A51" s="3" t="s">
        <v>49</v>
      </c>
      <c r="B51" s="7">
        <v>58.39</v>
      </c>
      <c r="C51" s="7">
        <v>70.44</v>
      </c>
      <c r="D51" s="7">
        <v>49.32</v>
      </c>
      <c r="E51" s="7">
        <v>1466.1247699999999</v>
      </c>
      <c r="F51" s="7">
        <v>59.025269999999999</v>
      </c>
      <c r="G51" s="5">
        <v>2.2035999999999998</v>
      </c>
      <c r="I51">
        <f t="shared" si="1"/>
        <v>49.32</v>
      </c>
      <c r="J51">
        <f t="shared" si="3"/>
        <v>0</v>
      </c>
      <c r="K51">
        <f t="shared" si="2"/>
        <v>0</v>
      </c>
      <c r="M51">
        <f t="shared" si="0"/>
        <v>0</v>
      </c>
      <c r="N51">
        <v>0</v>
      </c>
    </row>
    <row r="52" spans="1:14" x14ac:dyDescent="0.3">
      <c r="A52" s="3" t="s">
        <v>71</v>
      </c>
      <c r="B52" s="7">
        <v>78.45</v>
      </c>
      <c r="C52" s="7">
        <v>5.36</v>
      </c>
      <c r="D52" s="7">
        <v>66</v>
      </c>
      <c r="E52" s="7">
        <v>27788.1855</v>
      </c>
      <c r="F52" s="7">
        <v>59.126899999999999</v>
      </c>
      <c r="G52" s="5">
        <v>32.428699999999999</v>
      </c>
      <c r="I52">
        <f t="shared" si="1"/>
        <v>0</v>
      </c>
      <c r="J52">
        <f t="shared" si="3"/>
        <v>66</v>
      </c>
      <c r="K52">
        <f t="shared" si="2"/>
        <v>0</v>
      </c>
      <c r="M52" t="str">
        <f t="shared" si="0"/>
        <v>До 45</v>
      </c>
      <c r="N52">
        <v>66</v>
      </c>
    </row>
    <row r="53" spans="1:14" x14ac:dyDescent="0.3">
      <c r="A53" s="3" t="s">
        <v>47</v>
      </c>
      <c r="B53" s="7">
        <v>75.09</v>
      </c>
      <c r="C53" s="7">
        <v>2.37</v>
      </c>
      <c r="D53" s="7">
        <v>53.86</v>
      </c>
      <c r="E53" s="7">
        <v>21039.32187</v>
      </c>
      <c r="F53" s="7">
        <v>59.356900000000003</v>
      </c>
      <c r="G53" s="5">
        <v>19.080300000000001</v>
      </c>
      <c r="I53">
        <f t="shared" si="1"/>
        <v>0</v>
      </c>
      <c r="J53">
        <f t="shared" si="3"/>
        <v>53.86</v>
      </c>
      <c r="K53">
        <f t="shared" si="2"/>
        <v>0</v>
      </c>
      <c r="M53" t="str">
        <f t="shared" si="0"/>
        <v>До 45</v>
      </c>
      <c r="N53">
        <v>53.86</v>
      </c>
    </row>
    <row r="54" spans="1:14" x14ac:dyDescent="0.3">
      <c r="A54" s="3" t="s">
        <v>24</v>
      </c>
      <c r="B54" s="7">
        <v>72.7</v>
      </c>
      <c r="C54" s="7">
        <v>9.25</v>
      </c>
      <c r="D54" s="7">
        <v>48.92</v>
      </c>
      <c r="E54" s="7">
        <v>17031.144029999999</v>
      </c>
      <c r="F54" s="7">
        <v>61.016669999999998</v>
      </c>
      <c r="G54" s="5">
        <v>7.7512999999999996</v>
      </c>
      <c r="I54">
        <f t="shared" si="1"/>
        <v>48.92</v>
      </c>
      <c r="J54">
        <f t="shared" si="3"/>
        <v>0</v>
      </c>
      <c r="K54">
        <f t="shared" si="2"/>
        <v>0</v>
      </c>
      <c r="M54">
        <f t="shared" si="0"/>
        <v>0</v>
      </c>
      <c r="N54">
        <v>0</v>
      </c>
    </row>
    <row r="55" spans="1:14" x14ac:dyDescent="0.3">
      <c r="A55" s="3" t="s">
        <v>28</v>
      </c>
      <c r="B55" s="7">
        <v>71.25</v>
      </c>
      <c r="C55" s="7">
        <v>23.67</v>
      </c>
      <c r="D55" s="7">
        <v>62.62</v>
      </c>
      <c r="E55" s="7">
        <v>11097.15007</v>
      </c>
      <c r="F55" s="7">
        <v>62.752429999999997</v>
      </c>
      <c r="G55" s="5">
        <v>12.9817</v>
      </c>
      <c r="I55">
        <f t="shared" si="1"/>
        <v>62.62</v>
      </c>
      <c r="J55">
        <f t="shared" si="3"/>
        <v>0</v>
      </c>
      <c r="K55">
        <f t="shared" si="2"/>
        <v>0</v>
      </c>
      <c r="M55">
        <f t="shared" si="0"/>
        <v>0</v>
      </c>
      <c r="N55">
        <v>0</v>
      </c>
    </row>
    <row r="56" spans="1:14" x14ac:dyDescent="0.3">
      <c r="A56" s="3" t="s">
        <v>45</v>
      </c>
      <c r="B56" s="7">
        <v>72.33</v>
      </c>
      <c r="C56" s="7">
        <v>6.47</v>
      </c>
      <c r="D56" s="7">
        <v>50.15</v>
      </c>
      <c r="E56" s="7">
        <v>20970.28714</v>
      </c>
      <c r="F56" s="7">
        <v>65.179130000000001</v>
      </c>
      <c r="G56" s="5">
        <v>16.587599999999998</v>
      </c>
      <c r="I56">
        <f t="shared" si="1"/>
        <v>0</v>
      </c>
      <c r="J56">
        <f t="shared" si="3"/>
        <v>50.15</v>
      </c>
      <c r="K56">
        <f t="shared" si="2"/>
        <v>0</v>
      </c>
      <c r="M56" t="str">
        <f t="shared" si="0"/>
        <v>До 45</v>
      </c>
      <c r="N56">
        <v>50.15</v>
      </c>
    </row>
    <row r="57" spans="1:14" x14ac:dyDescent="0.3">
      <c r="A57" s="3" t="s">
        <v>48</v>
      </c>
      <c r="B57" s="7">
        <v>68.38</v>
      </c>
      <c r="C57" s="7">
        <v>15.35</v>
      </c>
      <c r="D57" s="7">
        <v>55.63</v>
      </c>
      <c r="E57" s="7">
        <v>14801.34208</v>
      </c>
      <c r="F57" s="7">
        <v>65.363439999999997</v>
      </c>
      <c r="G57" s="5">
        <v>12.830500000000001</v>
      </c>
      <c r="I57">
        <f t="shared" si="1"/>
        <v>55.63</v>
      </c>
      <c r="J57">
        <f t="shared" si="3"/>
        <v>0</v>
      </c>
      <c r="K57">
        <f t="shared" si="2"/>
        <v>0</v>
      </c>
      <c r="M57">
        <f t="shared" si="0"/>
        <v>0</v>
      </c>
      <c r="N57">
        <v>0</v>
      </c>
    </row>
    <row r="58" spans="1:14" x14ac:dyDescent="0.3">
      <c r="A58" s="3" t="s">
        <v>68</v>
      </c>
      <c r="B58" s="7">
        <v>76.400000000000006</v>
      </c>
      <c r="C58" s="7">
        <v>9.5</v>
      </c>
      <c r="D58" s="7">
        <v>48.72</v>
      </c>
      <c r="E58" s="7">
        <v>28378.552080000001</v>
      </c>
      <c r="F58" s="7">
        <v>67.478089999999995</v>
      </c>
      <c r="G58" s="5">
        <v>24.767600000000002</v>
      </c>
      <c r="I58">
        <f t="shared" si="1"/>
        <v>0</v>
      </c>
      <c r="J58">
        <f t="shared" si="3"/>
        <v>48.72</v>
      </c>
      <c r="K58">
        <f t="shared" si="2"/>
        <v>0</v>
      </c>
      <c r="M58" t="str">
        <f t="shared" si="0"/>
        <v>До 45</v>
      </c>
      <c r="N58">
        <v>48.72</v>
      </c>
    </row>
    <row r="59" spans="1:14" x14ac:dyDescent="0.3">
      <c r="A59" s="3" t="s">
        <v>30</v>
      </c>
      <c r="B59" s="7">
        <v>75.88</v>
      </c>
      <c r="C59" s="7">
        <v>3.78</v>
      </c>
      <c r="D59" s="7">
        <v>60</v>
      </c>
      <c r="E59" s="7">
        <v>36119.52117</v>
      </c>
      <c r="F59" s="7">
        <v>68.769679999999994</v>
      </c>
      <c r="G59" s="5">
        <v>30.696200000000001</v>
      </c>
      <c r="I59">
        <f t="shared" si="1"/>
        <v>0</v>
      </c>
      <c r="J59">
        <f t="shared" si="3"/>
        <v>60</v>
      </c>
      <c r="K59">
        <f t="shared" si="2"/>
        <v>0</v>
      </c>
      <c r="M59" t="str">
        <f t="shared" si="0"/>
        <v>До 45</v>
      </c>
      <c r="N59">
        <v>60</v>
      </c>
    </row>
    <row r="60" spans="1:14" x14ac:dyDescent="0.3">
      <c r="A60" s="3" t="s">
        <v>46</v>
      </c>
      <c r="B60" s="7">
        <v>69.66</v>
      </c>
      <c r="C60" s="7">
        <v>43.61</v>
      </c>
      <c r="D60" s="7">
        <v>44.34</v>
      </c>
      <c r="E60" s="7">
        <v>5926.8344999999999</v>
      </c>
      <c r="F60" s="7">
        <v>69.204639999999998</v>
      </c>
      <c r="G60" s="5">
        <v>6.5964</v>
      </c>
      <c r="I60">
        <f t="shared" si="1"/>
        <v>44.34</v>
      </c>
      <c r="J60">
        <f t="shared" si="3"/>
        <v>0</v>
      </c>
      <c r="K60">
        <f t="shared" si="2"/>
        <v>0</v>
      </c>
      <c r="M60">
        <f t="shared" si="0"/>
        <v>0</v>
      </c>
      <c r="N60">
        <v>0</v>
      </c>
    </row>
    <row r="61" spans="1:14" x14ac:dyDescent="0.3">
      <c r="A61" s="3" t="s">
        <v>62</v>
      </c>
      <c r="B61" s="7">
        <v>70.41</v>
      </c>
      <c r="C61" s="7">
        <v>5.19</v>
      </c>
      <c r="D61" s="7">
        <v>54.41</v>
      </c>
      <c r="E61" s="7">
        <v>36376.335939999997</v>
      </c>
      <c r="F61" s="7">
        <v>69.92953</v>
      </c>
      <c r="G61" s="5">
        <v>64.125100000000003</v>
      </c>
      <c r="I61">
        <f t="shared" si="1"/>
        <v>0</v>
      </c>
      <c r="J61">
        <f t="shared" si="3"/>
        <v>0</v>
      </c>
      <c r="K61">
        <f t="shared" si="2"/>
        <v>54.41</v>
      </c>
      <c r="M61">
        <f t="shared" si="0"/>
        <v>0</v>
      </c>
      <c r="N61">
        <v>0</v>
      </c>
    </row>
    <row r="62" spans="1:14" x14ac:dyDescent="0.3">
      <c r="A62" s="3" t="s">
        <v>52</v>
      </c>
      <c r="B62" s="7">
        <v>64.97</v>
      </c>
      <c r="C62" s="7">
        <v>40.46</v>
      </c>
      <c r="D62" s="7">
        <v>44.36</v>
      </c>
      <c r="E62" s="7">
        <v>9652.24827</v>
      </c>
      <c r="F62" s="7">
        <v>71.539259999999999</v>
      </c>
      <c r="G62" s="5">
        <v>10.0938</v>
      </c>
      <c r="I62">
        <f t="shared" si="1"/>
        <v>44.36</v>
      </c>
      <c r="J62">
        <f t="shared" si="3"/>
        <v>0</v>
      </c>
      <c r="K62">
        <f t="shared" si="2"/>
        <v>0</v>
      </c>
      <c r="M62">
        <f t="shared" si="0"/>
        <v>0</v>
      </c>
      <c r="N62">
        <v>0</v>
      </c>
    </row>
    <row r="63" spans="1:14" x14ac:dyDescent="0.3">
      <c r="A63" s="3" t="s">
        <v>33</v>
      </c>
      <c r="B63" s="7">
        <v>76.36</v>
      </c>
      <c r="C63" s="7">
        <v>13.2</v>
      </c>
      <c r="D63" s="7">
        <v>63.09</v>
      </c>
      <c r="E63" s="7">
        <v>9178.32078</v>
      </c>
      <c r="F63" s="7">
        <v>71.776740000000004</v>
      </c>
      <c r="G63" s="5">
        <v>18.5213</v>
      </c>
      <c r="I63">
        <f t="shared" si="1"/>
        <v>0</v>
      </c>
      <c r="J63">
        <f t="shared" si="3"/>
        <v>63.09</v>
      </c>
      <c r="K63">
        <f t="shared" si="2"/>
        <v>0</v>
      </c>
      <c r="M63" t="str">
        <f t="shared" si="0"/>
        <v>До 45</v>
      </c>
      <c r="N63">
        <v>63.09</v>
      </c>
    </row>
    <row r="64" spans="1:14" x14ac:dyDescent="0.3">
      <c r="A64" s="3" t="s">
        <v>58</v>
      </c>
      <c r="B64" s="7">
        <v>77.62</v>
      </c>
      <c r="C64" s="7">
        <v>12.78</v>
      </c>
      <c r="D64" s="7">
        <v>59.99</v>
      </c>
      <c r="E64" s="7">
        <v>13609.59996</v>
      </c>
      <c r="F64" s="7">
        <v>73.438630000000003</v>
      </c>
      <c r="G64" s="5">
        <v>11.868499999999999</v>
      </c>
      <c r="I64">
        <f t="shared" si="1"/>
        <v>59.99</v>
      </c>
      <c r="J64">
        <f t="shared" si="3"/>
        <v>0</v>
      </c>
      <c r="K64">
        <f t="shared" si="2"/>
        <v>0</v>
      </c>
      <c r="M64">
        <f t="shared" si="0"/>
        <v>0</v>
      </c>
      <c r="N64">
        <v>0</v>
      </c>
    </row>
    <row r="65" spans="1:14" x14ac:dyDescent="0.3">
      <c r="A65" s="3" t="s">
        <v>74</v>
      </c>
      <c r="B65" s="7">
        <v>64.239999999999995</v>
      </c>
      <c r="C65" s="7">
        <v>26.69</v>
      </c>
      <c r="D65" s="7">
        <v>50.35</v>
      </c>
      <c r="E65" s="7">
        <v>13266.785809999999</v>
      </c>
      <c r="F65" s="7">
        <v>74.038830000000004</v>
      </c>
      <c r="G65" s="5">
        <v>11.0524</v>
      </c>
      <c r="I65">
        <f t="shared" si="1"/>
        <v>50.35</v>
      </c>
      <c r="J65">
        <f t="shared" si="3"/>
        <v>0</v>
      </c>
      <c r="K65">
        <f t="shared" si="2"/>
        <v>0</v>
      </c>
      <c r="M65">
        <f t="shared" si="0"/>
        <v>0</v>
      </c>
      <c r="N65">
        <v>0</v>
      </c>
    </row>
    <row r="66" spans="1:14" x14ac:dyDescent="0.3">
      <c r="A66" s="3" t="s">
        <v>55</v>
      </c>
      <c r="B66" s="7">
        <v>83.14</v>
      </c>
      <c r="C66" s="7">
        <v>1.88</v>
      </c>
      <c r="D66" s="7">
        <v>74.42</v>
      </c>
      <c r="E66" s="7">
        <v>86096.050889999999</v>
      </c>
      <c r="F66" s="7">
        <v>76.11824</v>
      </c>
      <c r="G66" s="5">
        <v>84.392899999999997</v>
      </c>
      <c r="I66">
        <f t="shared" si="1"/>
        <v>0</v>
      </c>
      <c r="J66">
        <f t="shared" si="3"/>
        <v>0</v>
      </c>
      <c r="K66">
        <f t="shared" si="2"/>
        <v>74.42</v>
      </c>
      <c r="M66">
        <f t="shared" ref="M66:M75" si="4">IF(J66&lt;&gt;0,$J$1,0)</f>
        <v>0</v>
      </c>
      <c r="N66">
        <v>0</v>
      </c>
    </row>
    <row r="67" spans="1:14" x14ac:dyDescent="0.3">
      <c r="A67" s="3" t="s">
        <v>23</v>
      </c>
      <c r="B67" s="7">
        <v>70.599999999999994</v>
      </c>
      <c r="C67" s="7">
        <v>18.43</v>
      </c>
      <c r="D67" s="7">
        <v>43.28</v>
      </c>
      <c r="E67" s="7">
        <v>15309.235989999999</v>
      </c>
      <c r="F67" s="7">
        <v>79.974720000000005</v>
      </c>
      <c r="G67" s="5">
        <v>8.9933999999999994</v>
      </c>
      <c r="I67">
        <f t="shared" ref="I67:I75" si="5">IF(G67 &lt; 15,D67, 0)</f>
        <v>43.28</v>
      </c>
      <c r="J67">
        <f t="shared" si="3"/>
        <v>0</v>
      </c>
      <c r="K67">
        <f t="shared" ref="K67:K75" si="6">IF(G67&gt;45,D67, 0)</f>
        <v>0</v>
      </c>
      <c r="M67">
        <f t="shared" si="4"/>
        <v>0</v>
      </c>
      <c r="N67">
        <v>0</v>
      </c>
    </row>
    <row r="68" spans="1:14" x14ac:dyDescent="0.3">
      <c r="A68" s="3" t="s">
        <v>29</v>
      </c>
      <c r="B68" s="7">
        <v>70.66</v>
      </c>
      <c r="C68" s="7">
        <v>16.27</v>
      </c>
      <c r="D68" s="7">
        <v>59.3</v>
      </c>
      <c r="E68" s="7">
        <v>5603.2639799999997</v>
      </c>
      <c r="F68" s="7">
        <v>80.083420000000004</v>
      </c>
      <c r="G68" s="5">
        <v>10.960699999999999</v>
      </c>
      <c r="I68">
        <f t="shared" si="5"/>
        <v>59.3</v>
      </c>
      <c r="J68">
        <f t="shared" ref="J68:J75" si="7">IF(AND(G68 &lt; 45, G68&gt;15),D68, 0)</f>
        <v>0</v>
      </c>
      <c r="K68">
        <f t="shared" si="6"/>
        <v>0</v>
      </c>
      <c r="M68">
        <f t="shared" si="4"/>
        <v>0</v>
      </c>
      <c r="N68">
        <v>0</v>
      </c>
    </row>
    <row r="69" spans="1:14" x14ac:dyDescent="0.3">
      <c r="A69" s="3" t="s">
        <v>10</v>
      </c>
      <c r="B69" s="7">
        <v>75.95</v>
      </c>
      <c r="C69" s="7">
        <v>5.72</v>
      </c>
      <c r="D69" s="7">
        <v>60.16</v>
      </c>
      <c r="E69" s="7">
        <v>16746.39041</v>
      </c>
      <c r="F69" s="7">
        <v>81.344729999999998</v>
      </c>
      <c r="G69" s="5">
        <v>30.5215</v>
      </c>
      <c r="I69">
        <f t="shared" si="5"/>
        <v>0</v>
      </c>
      <c r="J69">
        <f t="shared" si="7"/>
        <v>60.16</v>
      </c>
      <c r="K69">
        <f t="shared" si="6"/>
        <v>0</v>
      </c>
      <c r="M69" t="str">
        <f t="shared" si="4"/>
        <v>До 45</v>
      </c>
      <c r="N69">
        <v>60.16</v>
      </c>
    </row>
    <row r="70" spans="1:14" x14ac:dyDescent="0.3">
      <c r="A70" s="3" t="s">
        <v>21</v>
      </c>
      <c r="B70" s="7">
        <v>74.19</v>
      </c>
      <c r="C70" s="7">
        <v>22.69</v>
      </c>
      <c r="D70" s="7">
        <v>47.45</v>
      </c>
      <c r="E70" s="7">
        <v>14194.15575</v>
      </c>
      <c r="F70" s="7">
        <v>84.871790000000004</v>
      </c>
      <c r="G70" s="5">
        <v>10.133800000000001</v>
      </c>
      <c r="I70">
        <f t="shared" si="5"/>
        <v>47.45</v>
      </c>
      <c r="J70">
        <f t="shared" si="7"/>
        <v>0</v>
      </c>
      <c r="K70">
        <f t="shared" si="6"/>
        <v>0</v>
      </c>
      <c r="M70">
        <f t="shared" si="4"/>
        <v>0</v>
      </c>
      <c r="N70">
        <v>0</v>
      </c>
    </row>
    <row r="71" spans="1:14" x14ac:dyDescent="0.3">
      <c r="A71" s="3" t="s">
        <v>3</v>
      </c>
      <c r="B71" s="7">
        <v>76.23</v>
      </c>
      <c r="C71" s="7">
        <v>9.75</v>
      </c>
      <c r="D71" s="7">
        <v>49.95</v>
      </c>
      <c r="E71" s="7">
        <v>14662.79552</v>
      </c>
      <c r="F71" s="7">
        <v>87.983329999999995</v>
      </c>
      <c r="G71" s="5">
        <v>14.847200000000001</v>
      </c>
      <c r="I71">
        <f t="shared" si="5"/>
        <v>49.95</v>
      </c>
      <c r="J71">
        <f t="shared" si="7"/>
        <v>0</v>
      </c>
      <c r="K71">
        <f t="shared" si="6"/>
        <v>0</v>
      </c>
      <c r="M71">
        <f t="shared" si="4"/>
        <v>0</v>
      </c>
      <c r="N71">
        <v>0</v>
      </c>
    </row>
    <row r="72" spans="1:14" x14ac:dyDescent="0.3">
      <c r="A72" s="3" t="s">
        <v>60</v>
      </c>
      <c r="B72" s="7">
        <v>73.97</v>
      </c>
      <c r="C72" s="7">
        <v>16.309999999999999</v>
      </c>
      <c r="D72" s="7">
        <v>44.83</v>
      </c>
      <c r="E72" s="7">
        <v>5423.6825500000004</v>
      </c>
      <c r="F72" s="7">
        <v>92.033649999999994</v>
      </c>
      <c r="G72" s="5">
        <v>14.7935</v>
      </c>
      <c r="I72">
        <f t="shared" si="5"/>
        <v>44.83</v>
      </c>
      <c r="J72">
        <f t="shared" si="7"/>
        <v>0</v>
      </c>
      <c r="K72">
        <f t="shared" si="6"/>
        <v>0</v>
      </c>
      <c r="M72">
        <f t="shared" si="4"/>
        <v>0</v>
      </c>
      <c r="N72">
        <v>0</v>
      </c>
    </row>
    <row r="73" spans="1:14" x14ac:dyDescent="0.3">
      <c r="A73" s="3" t="s">
        <v>15</v>
      </c>
      <c r="B73" s="7">
        <v>79.209999999999994</v>
      </c>
      <c r="C73" s="7">
        <v>5.5</v>
      </c>
      <c r="D73" s="7">
        <v>59.42</v>
      </c>
      <c r="E73" s="7">
        <v>26248.56164</v>
      </c>
      <c r="F73" s="7">
        <v>93.480450000000005</v>
      </c>
      <c r="G73" s="5">
        <v>29.537600000000001</v>
      </c>
      <c r="I73">
        <f t="shared" si="5"/>
        <v>0</v>
      </c>
      <c r="J73">
        <f t="shared" si="7"/>
        <v>59.42</v>
      </c>
      <c r="K73">
        <f t="shared" si="6"/>
        <v>0</v>
      </c>
      <c r="M73" t="str">
        <f t="shared" si="4"/>
        <v>До 45</v>
      </c>
      <c r="N73">
        <v>59.42</v>
      </c>
    </row>
    <row r="74" spans="1:14" x14ac:dyDescent="0.3">
      <c r="A74" s="3" t="s">
        <v>9</v>
      </c>
      <c r="B74" s="7">
        <v>71.959999999999994</v>
      </c>
      <c r="C74" s="7">
        <v>6.31</v>
      </c>
      <c r="D74" s="7">
        <v>51.08</v>
      </c>
      <c r="E74" s="7">
        <v>28545.70853</v>
      </c>
      <c r="F74" s="7">
        <v>93.833119999999994</v>
      </c>
      <c r="G74" s="5">
        <v>33.941499999999998</v>
      </c>
      <c r="I74">
        <f t="shared" si="5"/>
        <v>0</v>
      </c>
      <c r="J74">
        <f t="shared" si="7"/>
        <v>51.08</v>
      </c>
      <c r="K74">
        <f t="shared" si="6"/>
        <v>0</v>
      </c>
      <c r="M74" t="str">
        <f t="shared" si="4"/>
        <v>До 45</v>
      </c>
      <c r="N74">
        <v>51.08</v>
      </c>
    </row>
    <row r="75" spans="1:14" x14ac:dyDescent="0.3">
      <c r="A75" s="3" t="s">
        <v>37</v>
      </c>
      <c r="B75" s="7">
        <v>69.63</v>
      </c>
      <c r="C75" s="7">
        <v>25.63</v>
      </c>
      <c r="D75" s="7">
        <v>49.98</v>
      </c>
      <c r="E75" s="7">
        <v>6128.78244</v>
      </c>
      <c r="F75" s="7">
        <v>95.81711</v>
      </c>
      <c r="G75" s="5">
        <v>7.3418999999999999</v>
      </c>
      <c r="I75">
        <f t="shared" si="5"/>
        <v>49.98</v>
      </c>
      <c r="J75">
        <f t="shared" si="7"/>
        <v>0</v>
      </c>
      <c r="K75">
        <f t="shared" si="6"/>
        <v>0</v>
      </c>
      <c r="M75">
        <f t="shared" si="4"/>
        <v>0</v>
      </c>
      <c r="N75">
        <v>0</v>
      </c>
    </row>
    <row r="76" spans="1:14" x14ac:dyDescent="0.3">
      <c r="B76" s="2"/>
      <c r="C76" s="2"/>
      <c r="D76" s="2"/>
      <c r="E76" s="2"/>
      <c r="F76" s="2"/>
    </row>
    <row r="77" spans="1:14" x14ac:dyDescent="0.3">
      <c r="B77" s="2"/>
      <c r="C77" s="2"/>
      <c r="D77" s="2"/>
      <c r="E77" s="2"/>
      <c r="F77" s="2"/>
    </row>
    <row r="78" spans="1:14" x14ac:dyDescent="0.3">
      <c r="B78" s="2"/>
      <c r="C78" s="2"/>
      <c r="D78" s="2"/>
      <c r="E78" s="2"/>
      <c r="F78" s="2"/>
    </row>
    <row r="79" spans="1:14" x14ac:dyDescent="0.3">
      <c r="B79" s="2"/>
      <c r="C79" s="2"/>
      <c r="D79" s="2"/>
      <c r="E79" s="2"/>
      <c r="F79" s="2"/>
    </row>
    <row r="80" spans="1:14" x14ac:dyDescent="0.3">
      <c r="B80" s="2"/>
      <c r="C80" s="2"/>
      <c r="D80" s="2"/>
      <c r="E80" s="2"/>
      <c r="F80" s="2"/>
    </row>
    <row r="81" spans="2:6" x14ac:dyDescent="0.3">
      <c r="B81" s="2"/>
      <c r="C81" s="2"/>
      <c r="D81" s="2"/>
      <c r="E81" s="2"/>
      <c r="F81" s="2"/>
    </row>
    <row r="82" spans="2:6" x14ac:dyDescent="0.3">
      <c r="B82" s="2"/>
      <c r="C82" s="2"/>
      <c r="D82" s="2"/>
      <c r="E82" s="2"/>
      <c r="F82" s="2"/>
    </row>
    <row r="83" spans="2:6" x14ac:dyDescent="0.3">
      <c r="B83" s="2"/>
      <c r="C83" s="2"/>
      <c r="D83" s="2"/>
      <c r="E83" s="2"/>
      <c r="F83" s="2"/>
    </row>
    <row r="84" spans="2:6" x14ac:dyDescent="0.3">
      <c r="B84" s="2"/>
      <c r="C84" s="2"/>
      <c r="D84" s="2"/>
      <c r="E84" s="2"/>
      <c r="F84" s="2"/>
    </row>
    <row r="85" spans="2:6" x14ac:dyDescent="0.3">
      <c r="B85" s="2"/>
      <c r="C85" s="2"/>
      <c r="D85" s="2"/>
      <c r="E85" s="2"/>
      <c r="F85" s="2"/>
    </row>
    <row r="86" spans="2:6" x14ac:dyDescent="0.3">
      <c r="B86" s="2"/>
      <c r="C86" s="2"/>
      <c r="D86" s="2"/>
      <c r="E86" s="2"/>
      <c r="F86" s="2"/>
    </row>
    <row r="87" spans="2:6" x14ac:dyDescent="0.3">
      <c r="B87" s="2"/>
      <c r="C87" s="2"/>
      <c r="D87" s="2"/>
      <c r="E87" s="2"/>
      <c r="F87" s="2"/>
    </row>
    <row r="88" spans="2:6" x14ac:dyDescent="0.3">
      <c r="B88" s="2"/>
      <c r="C88" s="2"/>
      <c r="D88" s="2"/>
      <c r="E88" s="2"/>
      <c r="F88" s="2"/>
    </row>
    <row r="89" spans="2:6" x14ac:dyDescent="0.3">
      <c r="B89" s="2"/>
      <c r="C89" s="2"/>
      <c r="D89" s="2"/>
      <c r="E89" s="2"/>
      <c r="F89" s="2"/>
    </row>
    <row r="90" spans="2:6" x14ac:dyDescent="0.3">
      <c r="B90" s="2"/>
      <c r="C90" s="2"/>
      <c r="D90" s="2"/>
      <c r="E90" s="2"/>
      <c r="F90" s="2"/>
    </row>
    <row r="91" spans="2:6" x14ac:dyDescent="0.3">
      <c r="B91" s="2"/>
      <c r="C91" s="2"/>
      <c r="D91" s="2"/>
      <c r="E91" s="2"/>
      <c r="F91" s="2"/>
    </row>
    <row r="92" spans="2:6" x14ac:dyDescent="0.3">
      <c r="B92" s="2"/>
      <c r="C92" s="2"/>
      <c r="D92" s="2"/>
      <c r="E92" s="2"/>
      <c r="F92" s="2"/>
    </row>
    <row r="93" spans="2:6" x14ac:dyDescent="0.3">
      <c r="B93" s="2"/>
      <c r="C93" s="2"/>
      <c r="D93" s="2"/>
      <c r="E93" s="2"/>
      <c r="F93" s="2"/>
    </row>
    <row r="94" spans="2:6" x14ac:dyDescent="0.3">
      <c r="B94" s="2"/>
      <c r="C94" s="2"/>
      <c r="D94" s="2"/>
      <c r="E94" s="2"/>
      <c r="F94" s="2"/>
    </row>
    <row r="95" spans="2:6" x14ac:dyDescent="0.3">
      <c r="B95" s="2"/>
      <c r="C95" s="2"/>
      <c r="D95" s="2"/>
      <c r="E95" s="2"/>
      <c r="F95" s="2"/>
    </row>
    <row r="96" spans="2:6" x14ac:dyDescent="0.3">
      <c r="B96" s="2"/>
      <c r="C96" s="2"/>
      <c r="D96" s="2"/>
      <c r="E96" s="2"/>
      <c r="F96" s="2"/>
    </row>
    <row r="97" spans="2:6" x14ac:dyDescent="0.3">
      <c r="B97" s="2"/>
      <c r="C97" s="2"/>
      <c r="D97" s="2"/>
      <c r="E97" s="2"/>
      <c r="F97" s="2"/>
    </row>
    <row r="98" spans="2:6" x14ac:dyDescent="0.3">
      <c r="B98" s="2"/>
      <c r="C98" s="2"/>
      <c r="D98" s="2"/>
      <c r="E98" s="2"/>
      <c r="F98" s="2"/>
    </row>
    <row r="99" spans="2:6" x14ac:dyDescent="0.3">
      <c r="B99" s="2"/>
      <c r="C99" s="2"/>
      <c r="D99" s="2"/>
      <c r="E99" s="2"/>
      <c r="F99" s="2"/>
    </row>
    <row r="100" spans="2:6" x14ac:dyDescent="0.3">
      <c r="B100" s="2"/>
      <c r="C100" s="2"/>
      <c r="D100" s="2"/>
      <c r="E100" s="2"/>
      <c r="F100" s="2"/>
    </row>
    <row r="101" spans="2:6" x14ac:dyDescent="0.3">
      <c r="B101" s="2"/>
      <c r="C101" s="2"/>
      <c r="D101" s="2"/>
      <c r="E101" s="2"/>
      <c r="F101" s="2"/>
    </row>
    <row r="102" spans="2:6" x14ac:dyDescent="0.3">
      <c r="B102" s="2"/>
      <c r="C102" s="2"/>
      <c r="D102" s="2"/>
      <c r="E102" s="2"/>
      <c r="F102" s="2"/>
    </row>
    <row r="103" spans="2:6" x14ac:dyDescent="0.3">
      <c r="B103" s="2"/>
      <c r="C103" s="2"/>
      <c r="D103" s="2"/>
      <c r="E103" s="2"/>
      <c r="F103" s="2"/>
    </row>
    <row r="104" spans="2:6" x14ac:dyDescent="0.3">
      <c r="B104" s="2"/>
      <c r="C104" s="2"/>
      <c r="D104" s="2"/>
      <c r="E104" s="2"/>
      <c r="F104" s="2"/>
    </row>
    <row r="105" spans="2:6" x14ac:dyDescent="0.3">
      <c r="B105" s="2"/>
      <c r="C105" s="2"/>
      <c r="D105" s="2"/>
      <c r="E105" s="2"/>
      <c r="F105" s="2"/>
    </row>
    <row r="106" spans="2:6" x14ac:dyDescent="0.3">
      <c r="B106" s="2"/>
      <c r="C106" s="2"/>
      <c r="D106" s="2"/>
      <c r="E106" s="2"/>
      <c r="F106" s="2"/>
    </row>
    <row r="107" spans="2:6" x14ac:dyDescent="0.3">
      <c r="B107" s="2"/>
      <c r="C107" s="2"/>
      <c r="D107" s="2"/>
      <c r="E107" s="2"/>
      <c r="F107" s="2"/>
    </row>
    <row r="108" spans="2:6" x14ac:dyDescent="0.3">
      <c r="B108" s="2"/>
      <c r="C108" s="2"/>
      <c r="D108" s="2"/>
      <c r="E108" s="2"/>
      <c r="F108" s="2"/>
    </row>
    <row r="109" spans="2:6" x14ac:dyDescent="0.3">
      <c r="B109" s="2"/>
      <c r="C109" s="2"/>
      <c r="D109" s="2"/>
      <c r="E109" s="2"/>
      <c r="F109" s="2"/>
    </row>
    <row r="110" spans="2:6" x14ac:dyDescent="0.3">
      <c r="B110" s="2"/>
      <c r="C110" s="2"/>
      <c r="D110" s="2"/>
      <c r="E110" s="2"/>
      <c r="F110" s="2"/>
    </row>
  </sheetData>
  <sortState xmlns:xlrd2="http://schemas.microsoft.com/office/spreadsheetml/2017/richdata2" ref="A2:G148">
    <sortCondition ref="G2:G148"/>
  </sortState>
  <conditionalFormatting sqref="G1 B1:F1048576 I1:K1">
    <cfRule type="cellIs" dxfId="4" priority="4" operator="equal">
      <formula>#N/A</formula>
    </cfRule>
    <cfRule type="containsText" dxfId="3" priority="5" operator="containsText" text="#Н/Д">
      <formula>NOT(ISERROR(SEARCH("#Н/Д",B1)))</formula>
    </cfRule>
  </conditionalFormatting>
  <conditionalFormatting sqref="G2:G75">
    <cfRule type="cellIs" dxfId="2" priority="1" operator="between">
      <formula>45</formula>
      <formula>130</formula>
    </cfRule>
    <cfRule type="cellIs" dxfId="1" priority="2" operator="between">
      <formula>15</formula>
      <formula>45</formula>
    </cfRule>
    <cfRule type="cellIs" dxfId="0" priority="3" operator="between">
      <formula>0</formula>
      <formula>15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A589-E8F6-404B-9561-7F098E1C5944}">
  <dimension ref="A1:G32"/>
  <sheetViews>
    <sheetView topLeftCell="A39" workbookViewId="0">
      <selection sqref="A1:A32"/>
    </sheetView>
  </sheetViews>
  <sheetFormatPr defaultRowHeight="14.4" x14ac:dyDescent="0.3"/>
  <sheetData>
    <row r="1" spans="1:7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 x14ac:dyDescent="0.3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3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3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</row>
    <row r="6" spans="1:7" x14ac:dyDescent="0.3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</row>
    <row r="7" spans="1:7" x14ac:dyDescent="0.3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</row>
    <row r="8" spans="1:7" x14ac:dyDescent="0.3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</row>
    <row r="9" spans="1:7" x14ac:dyDescent="0.3">
      <c r="A9" t="s">
        <v>137</v>
      </c>
      <c r="B9" t="s">
        <v>138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</row>
    <row r="10" spans="1:7" x14ac:dyDescent="0.3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</row>
    <row r="11" spans="1:7" x14ac:dyDescent="0.3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</row>
    <row r="12" spans="1:7" x14ac:dyDescent="0.3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</row>
    <row r="13" spans="1:7" x14ac:dyDescent="0.3">
      <c r="A13" t="s">
        <v>165</v>
      </c>
      <c r="B13" t="s">
        <v>166</v>
      </c>
      <c r="C13" t="s">
        <v>167</v>
      </c>
      <c r="D13" t="s">
        <v>168</v>
      </c>
      <c r="E13" t="s">
        <v>169</v>
      </c>
      <c r="F13" t="s">
        <v>170</v>
      </c>
      <c r="G13" t="s">
        <v>171</v>
      </c>
    </row>
    <row r="14" spans="1:7" x14ac:dyDescent="0.3">
      <c r="A14" t="s">
        <v>172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</row>
    <row r="15" spans="1:7" x14ac:dyDescent="0.3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</row>
    <row r="16" spans="1:7" x14ac:dyDescent="0.3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</row>
    <row r="17" spans="1:7" x14ac:dyDescent="0.3">
      <c r="A17" t="s">
        <v>193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199</v>
      </c>
    </row>
    <row r="18" spans="1:7" x14ac:dyDescent="0.3">
      <c r="A18" t="s">
        <v>200</v>
      </c>
      <c r="B18" t="s">
        <v>201</v>
      </c>
      <c r="C18" t="s">
        <v>202</v>
      </c>
      <c r="D18" t="s">
        <v>203</v>
      </c>
      <c r="E18" t="s">
        <v>204</v>
      </c>
      <c r="F18" t="s">
        <v>205</v>
      </c>
      <c r="G18" t="s">
        <v>206</v>
      </c>
    </row>
    <row r="19" spans="1:7" x14ac:dyDescent="0.3">
      <c r="A19" t="s">
        <v>207</v>
      </c>
      <c r="B19" t="s">
        <v>208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</row>
    <row r="20" spans="1:7" x14ac:dyDescent="0.3">
      <c r="A20" t="s">
        <v>214</v>
      </c>
      <c r="B20" t="s">
        <v>215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</row>
    <row r="21" spans="1:7" x14ac:dyDescent="0.3">
      <c r="A21" t="s">
        <v>221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</row>
    <row r="22" spans="1:7" x14ac:dyDescent="0.3">
      <c r="A22" t="s">
        <v>228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234</v>
      </c>
    </row>
    <row r="23" spans="1:7" x14ac:dyDescent="0.3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</row>
    <row r="24" spans="1:7" x14ac:dyDescent="0.3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248</v>
      </c>
    </row>
    <row r="25" spans="1:7" x14ac:dyDescent="0.3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</row>
    <row r="26" spans="1:7" x14ac:dyDescent="0.3">
      <c r="A26" t="s">
        <v>256</v>
      </c>
      <c r="B26" t="s">
        <v>257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</row>
    <row r="27" spans="1:7" x14ac:dyDescent="0.3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</row>
    <row r="28" spans="1:7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</row>
    <row r="29" spans="1:7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</row>
    <row r="30" spans="1:7" x14ac:dyDescent="0.3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</row>
    <row r="31" spans="1:7" x14ac:dyDescent="0.3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</row>
    <row r="32" spans="1:7" x14ac:dyDescent="0.3">
      <c r="A32" t="s">
        <v>298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7891-F92E-4B59-B74C-21306C6E622E}">
  <dimension ref="A1:B193"/>
  <sheetViews>
    <sheetView topLeftCell="A104" workbookViewId="0">
      <selection activeCell="G7" sqref="G7"/>
    </sheetView>
  </sheetViews>
  <sheetFormatPr defaultRowHeight="14.4" x14ac:dyDescent="0.3"/>
  <cols>
    <col min="1" max="1" width="22.6640625" bestFit="1" customWidth="1"/>
    <col min="2" max="2" width="17.5546875" bestFit="1" customWidth="1"/>
  </cols>
  <sheetData>
    <row r="1" spans="1:2" x14ac:dyDescent="0.3">
      <c r="A1" t="s">
        <v>0</v>
      </c>
      <c r="B1" t="s">
        <v>77</v>
      </c>
    </row>
    <row r="2" spans="1:2" x14ac:dyDescent="0.3">
      <c r="A2" t="s">
        <v>81</v>
      </c>
      <c r="B2" s="5">
        <v>5.3277999999999999</v>
      </c>
    </row>
    <row r="3" spans="1:2" x14ac:dyDescent="0.3">
      <c r="A3" t="s">
        <v>88</v>
      </c>
      <c r="B3" s="5">
        <v>5.9687000000000001</v>
      </c>
    </row>
    <row r="4" spans="1:2" x14ac:dyDescent="0.3">
      <c r="A4" t="s">
        <v>95</v>
      </c>
      <c r="B4" s="5">
        <v>14.6318</v>
      </c>
    </row>
    <row r="5" spans="1:2" x14ac:dyDescent="0.3">
      <c r="A5" t="s">
        <v>102</v>
      </c>
      <c r="B5" s="5">
        <v>62.271299999999997</v>
      </c>
    </row>
    <row r="6" spans="1:2" x14ac:dyDescent="0.3">
      <c r="A6" t="s">
        <v>109</v>
      </c>
      <c r="B6" s="5">
        <v>81.219700000000003</v>
      </c>
    </row>
    <row r="7" spans="1:2" x14ac:dyDescent="0.3">
      <c r="A7" t="s">
        <v>116</v>
      </c>
      <c r="B7" s="5">
        <v>25.9162</v>
      </c>
    </row>
    <row r="8" spans="1:2" x14ac:dyDescent="0.3">
      <c r="A8" t="s">
        <v>123</v>
      </c>
      <c r="B8" s="5">
        <v>9.0876999999999999</v>
      </c>
    </row>
    <row r="9" spans="1:2" x14ac:dyDescent="0.3">
      <c r="A9" t="s">
        <v>130</v>
      </c>
      <c r="B9" s="5">
        <v>28.711099999999998</v>
      </c>
    </row>
    <row r="10" spans="1:2" x14ac:dyDescent="0.3">
      <c r="A10" t="s">
        <v>137</v>
      </c>
      <c r="B10" s="5">
        <v>70.7727</v>
      </c>
    </row>
    <row r="11" spans="1:2" x14ac:dyDescent="0.3">
      <c r="A11" t="s">
        <v>144</v>
      </c>
      <c r="B11" s="5">
        <v>78.695599999999999</v>
      </c>
    </row>
    <row r="12" spans="1:2" x14ac:dyDescent="0.3">
      <c r="A12" t="s">
        <v>151</v>
      </c>
      <c r="B12" s="5">
        <v>22.536300000000001</v>
      </c>
    </row>
    <row r="13" spans="1:2" x14ac:dyDescent="0.3">
      <c r="A13" t="s">
        <v>158</v>
      </c>
      <c r="B13" s="5">
        <v>2.6089000000000002</v>
      </c>
    </row>
    <row r="14" spans="1:2" x14ac:dyDescent="0.3">
      <c r="A14" t="s">
        <v>165</v>
      </c>
      <c r="B14" s="5">
        <v>68.418599999999998</v>
      </c>
    </row>
    <row r="15" spans="1:2" x14ac:dyDescent="0.3">
      <c r="A15" t="s">
        <v>172</v>
      </c>
      <c r="B15" s="5">
        <v>5.0122999999999998</v>
      </c>
    </row>
    <row r="16" spans="1:2" x14ac:dyDescent="0.3">
      <c r="A16" t="s">
        <v>179</v>
      </c>
      <c r="B16" s="5">
        <v>4.5778999999999996</v>
      </c>
    </row>
    <row r="17" spans="1:2" x14ac:dyDescent="0.3">
      <c r="A17" t="s">
        <v>186</v>
      </c>
      <c r="B17" s="5">
        <v>6.4966999999999997</v>
      </c>
    </row>
    <row r="18" spans="1:2" x14ac:dyDescent="0.3">
      <c r="A18" t="s">
        <v>193</v>
      </c>
      <c r="B18" s="5">
        <v>30.1493</v>
      </c>
    </row>
    <row r="19" spans="1:2" x14ac:dyDescent="0.3">
      <c r="A19" t="s">
        <v>200</v>
      </c>
      <c r="B19" s="5">
        <v>55.454599999999999</v>
      </c>
    </row>
    <row r="20" spans="1:2" x14ac:dyDescent="0.3">
      <c r="A20" t="s">
        <v>207</v>
      </c>
      <c r="B20" s="5">
        <v>31.993500000000001</v>
      </c>
    </row>
    <row r="21" spans="1:2" x14ac:dyDescent="0.3">
      <c r="A21" t="s">
        <v>214</v>
      </c>
      <c r="B21" s="5">
        <v>31.035900000000002</v>
      </c>
    </row>
    <row r="22" spans="1:2" x14ac:dyDescent="0.3">
      <c r="A22" t="s">
        <v>221</v>
      </c>
      <c r="B22" s="5">
        <v>20.405799999999999</v>
      </c>
    </row>
    <row r="23" spans="1:2" x14ac:dyDescent="0.3">
      <c r="A23" t="s">
        <v>228</v>
      </c>
      <c r="B23" s="5">
        <v>20.471800000000002</v>
      </c>
    </row>
    <row r="24" spans="1:2" x14ac:dyDescent="0.3">
      <c r="A24" t="s">
        <v>235</v>
      </c>
      <c r="B24" s="5">
        <v>22.1584</v>
      </c>
    </row>
    <row r="25" spans="1:2" x14ac:dyDescent="0.3">
      <c r="A25" t="s">
        <v>242</v>
      </c>
      <c r="B25" s="5">
        <v>24.1099</v>
      </c>
    </row>
    <row r="26" spans="1:2" x14ac:dyDescent="0.3">
      <c r="A26" t="s">
        <v>249</v>
      </c>
      <c r="B26" s="5">
        <v>18.238900000000001</v>
      </c>
    </row>
    <row r="27" spans="1:2" x14ac:dyDescent="0.3">
      <c r="A27" t="s">
        <v>256</v>
      </c>
      <c r="B27" s="5">
        <v>80.4298</v>
      </c>
    </row>
    <row r="28" spans="1:2" x14ac:dyDescent="0.3">
      <c r="A28" t="s">
        <v>263</v>
      </c>
      <c r="B28" s="5">
        <v>14.3771</v>
      </c>
    </row>
    <row r="29" spans="1:2" x14ac:dyDescent="0.3">
      <c r="A29" t="s">
        <v>270</v>
      </c>
      <c r="B29" s="5">
        <v>12.5594</v>
      </c>
    </row>
    <row r="30" spans="1:2" x14ac:dyDescent="0.3">
      <c r="A30" t="s">
        <v>277</v>
      </c>
      <c r="B30" s="5">
        <v>2.8851</v>
      </c>
    </row>
    <row r="31" spans="1:2" x14ac:dyDescent="0.3">
      <c r="A31" t="s">
        <v>284</v>
      </c>
      <c r="B31" s="5">
        <v>73.565700000000007</v>
      </c>
    </row>
    <row r="32" spans="1:2" x14ac:dyDescent="0.3">
      <c r="A32" t="s">
        <v>291</v>
      </c>
      <c r="B32" s="5">
        <v>87.454700000000003</v>
      </c>
    </row>
    <row r="33" spans="1:2" x14ac:dyDescent="0.3">
      <c r="A33" t="s">
        <v>298</v>
      </c>
      <c r="B33" s="5">
        <v>29.503399999999999</v>
      </c>
    </row>
    <row r="34" spans="1:2" x14ac:dyDescent="0.3">
      <c r="A34" t="s">
        <v>81</v>
      </c>
      <c r="B34" s="5">
        <v>5.0410000000000004</v>
      </c>
    </row>
    <row r="35" spans="1:2" x14ac:dyDescent="0.3">
      <c r="A35" t="s">
        <v>88</v>
      </c>
      <c r="B35" s="5">
        <v>5.4511000000000003</v>
      </c>
    </row>
    <row r="36" spans="1:2" x14ac:dyDescent="0.3">
      <c r="A36" t="s">
        <v>95</v>
      </c>
      <c r="B36" s="5">
        <v>14.847200000000001</v>
      </c>
    </row>
    <row r="37" spans="1:2" x14ac:dyDescent="0.3">
      <c r="A37" t="s">
        <v>102</v>
      </c>
      <c r="B37" s="5">
        <v>54.659300000000002</v>
      </c>
    </row>
    <row r="38" spans="1:2" x14ac:dyDescent="0.3">
      <c r="A38" t="s">
        <v>109</v>
      </c>
      <c r="B38" s="5">
        <v>77.561099999999996</v>
      </c>
    </row>
    <row r="39" spans="1:2" x14ac:dyDescent="0.3">
      <c r="A39" t="s">
        <v>116</v>
      </c>
      <c r="B39" s="5">
        <v>23.237500000000001</v>
      </c>
    </row>
    <row r="40" spans="1:2" x14ac:dyDescent="0.3">
      <c r="A40" t="s">
        <v>123</v>
      </c>
      <c r="B40" s="5">
        <v>8.5898000000000003</v>
      </c>
    </row>
    <row r="41" spans="1:2" x14ac:dyDescent="0.3">
      <c r="A41" t="s">
        <v>130</v>
      </c>
      <c r="B41" s="5">
        <v>23.171399999999998</v>
      </c>
    </row>
    <row r="42" spans="1:2" x14ac:dyDescent="0.3">
      <c r="A42" t="s">
        <v>137</v>
      </c>
      <c r="B42" s="5">
        <v>69.8215</v>
      </c>
    </row>
    <row r="43" spans="1:2" x14ac:dyDescent="0.3">
      <c r="A43" t="s">
        <v>144</v>
      </c>
      <c r="B43" s="5">
        <v>78.899900000000002</v>
      </c>
    </row>
    <row r="44" spans="1:2" x14ac:dyDescent="0.3">
      <c r="A44" t="s">
        <v>151</v>
      </c>
      <c r="B44" s="5">
        <v>21.442699999999999</v>
      </c>
    </row>
    <row r="45" spans="1:2" x14ac:dyDescent="0.3">
      <c r="A45" t="s">
        <v>158</v>
      </c>
      <c r="B45" s="5">
        <v>2.6171000000000002</v>
      </c>
    </row>
    <row r="46" spans="1:2" x14ac:dyDescent="0.3">
      <c r="A46" t="s">
        <v>165</v>
      </c>
      <c r="B46" s="5">
        <v>68.1417</v>
      </c>
    </row>
    <row r="47" spans="1:2" x14ac:dyDescent="0.3">
      <c r="A47" t="s">
        <v>172</v>
      </c>
      <c r="B47" s="5">
        <v>5.1379999999999999</v>
      </c>
    </row>
    <row r="48" spans="1:2" x14ac:dyDescent="0.3">
      <c r="A48" t="s">
        <v>179</v>
      </c>
      <c r="B48" s="5">
        <v>4.5247000000000002</v>
      </c>
    </row>
    <row r="49" spans="1:2" x14ac:dyDescent="0.3">
      <c r="A49" t="s">
        <v>186</v>
      </c>
      <c r="B49" s="5">
        <v>6.8183999999999996</v>
      </c>
    </row>
    <row r="50" spans="1:2" x14ac:dyDescent="0.3">
      <c r="A50" t="s">
        <v>193</v>
      </c>
      <c r="B50" s="5">
        <v>33.941499999999998</v>
      </c>
    </row>
    <row r="51" spans="1:2" x14ac:dyDescent="0.3">
      <c r="A51" t="s">
        <v>200</v>
      </c>
      <c r="B51" s="5">
        <v>52.585900000000002</v>
      </c>
    </row>
    <row r="52" spans="1:2" x14ac:dyDescent="0.3">
      <c r="A52" t="s">
        <v>207</v>
      </c>
      <c r="B52" s="5">
        <v>25.4894</v>
      </c>
    </row>
    <row r="53" spans="1:2" x14ac:dyDescent="0.3">
      <c r="A53" t="s">
        <v>214</v>
      </c>
      <c r="B53" s="5">
        <v>30.5215</v>
      </c>
    </row>
    <row r="54" spans="1:2" x14ac:dyDescent="0.3">
      <c r="A54" t="s">
        <v>221</v>
      </c>
      <c r="B54" s="5">
        <v>20.5472</v>
      </c>
    </row>
    <row r="55" spans="1:2" x14ac:dyDescent="0.3">
      <c r="A55" t="s">
        <v>228</v>
      </c>
      <c r="B55" s="5">
        <v>17.4009</v>
      </c>
    </row>
    <row r="56" spans="1:2" x14ac:dyDescent="0.3">
      <c r="A56" t="s">
        <v>235</v>
      </c>
      <c r="B56" s="5">
        <v>22.1432</v>
      </c>
    </row>
    <row r="57" spans="1:2" x14ac:dyDescent="0.3">
      <c r="A57" t="s">
        <v>242</v>
      </c>
      <c r="B57" s="5">
        <v>24.020399999999999</v>
      </c>
    </row>
    <row r="58" spans="1:2" x14ac:dyDescent="0.3">
      <c r="A58" t="s">
        <v>249</v>
      </c>
      <c r="B58" s="5">
        <v>15.466200000000001</v>
      </c>
    </row>
    <row r="59" spans="1:2" x14ac:dyDescent="0.3">
      <c r="A59" t="s">
        <v>256</v>
      </c>
      <c r="B59" s="5">
        <v>80.482699999999994</v>
      </c>
    </row>
    <row r="60" spans="1:2" x14ac:dyDescent="0.3">
      <c r="A60" t="s">
        <v>263</v>
      </c>
      <c r="B60" s="5">
        <v>15.5166</v>
      </c>
    </row>
    <row r="61" spans="1:2" x14ac:dyDescent="0.3">
      <c r="A61" t="s">
        <v>270</v>
      </c>
      <c r="B61" s="5">
        <v>11.299300000000001</v>
      </c>
    </row>
    <row r="62" spans="1:2" x14ac:dyDescent="0.3">
      <c r="A62" t="s">
        <v>277</v>
      </c>
      <c r="B62" s="5">
        <v>2.8182</v>
      </c>
    </row>
    <row r="63" spans="1:2" x14ac:dyDescent="0.3">
      <c r="A63" t="s">
        <v>284</v>
      </c>
      <c r="B63" s="5">
        <v>77.792000000000002</v>
      </c>
    </row>
    <row r="64" spans="1:2" x14ac:dyDescent="0.3">
      <c r="A64" t="s">
        <v>291</v>
      </c>
      <c r="B64" s="5">
        <v>88.412300000000002</v>
      </c>
    </row>
    <row r="65" spans="1:2" x14ac:dyDescent="0.3">
      <c r="A65" t="s">
        <v>298</v>
      </c>
      <c r="B65" s="5">
        <v>29.537600000000001</v>
      </c>
    </row>
    <row r="66" spans="1:2" x14ac:dyDescent="0.3">
      <c r="A66" t="s">
        <v>81</v>
      </c>
      <c r="B66" s="5">
        <v>3.9024999999999999</v>
      </c>
    </row>
    <row r="67" spans="1:2" x14ac:dyDescent="0.3">
      <c r="A67" t="s">
        <v>88</v>
      </c>
      <c r="B67" s="5">
        <v>5.3437000000000001</v>
      </c>
    </row>
    <row r="68" spans="1:2" x14ac:dyDescent="0.3">
      <c r="A68" t="s">
        <v>95</v>
      </c>
      <c r="B68" s="5">
        <v>16.329499999999999</v>
      </c>
    </row>
    <row r="69" spans="1:2" x14ac:dyDescent="0.3">
      <c r="A69" t="s">
        <v>102</v>
      </c>
      <c r="B69" s="5">
        <v>58.445599999999999</v>
      </c>
    </row>
    <row r="70" spans="1:2" x14ac:dyDescent="0.3">
      <c r="A70" t="s">
        <v>109</v>
      </c>
      <c r="B70" s="5">
        <v>79.466899999999995</v>
      </c>
    </row>
    <row r="71" spans="1:2" x14ac:dyDescent="0.3">
      <c r="A71" t="s">
        <v>116</v>
      </c>
      <c r="B71" s="5">
        <v>25.595800000000001</v>
      </c>
    </row>
    <row r="72" spans="1:2" x14ac:dyDescent="0.3">
      <c r="A72" t="s">
        <v>123</v>
      </c>
      <c r="B72" s="5">
        <v>8.9415999999999993</v>
      </c>
    </row>
    <row r="73" spans="1:2" x14ac:dyDescent="0.3">
      <c r="A73" t="s">
        <v>130</v>
      </c>
      <c r="B73" s="5">
        <v>24.928699999999999</v>
      </c>
    </row>
    <row r="74" spans="1:2" x14ac:dyDescent="0.3">
      <c r="A74" t="s">
        <v>137</v>
      </c>
      <c r="B74" s="5">
        <v>71.1952</v>
      </c>
    </row>
    <row r="75" spans="1:2" x14ac:dyDescent="0.3">
      <c r="A75" t="s">
        <v>144</v>
      </c>
      <c r="B75" s="5">
        <v>78.753699999999995</v>
      </c>
    </row>
    <row r="76" spans="1:2" x14ac:dyDescent="0.3">
      <c r="A76" t="s">
        <v>151</v>
      </c>
      <c r="B76" s="5">
        <v>22.5474</v>
      </c>
    </row>
    <row r="77" spans="1:2" x14ac:dyDescent="0.3">
      <c r="A77" t="s">
        <v>158</v>
      </c>
      <c r="B77" s="5">
        <v>2.6257000000000001</v>
      </c>
    </row>
    <row r="78" spans="1:2" x14ac:dyDescent="0.3">
      <c r="A78" t="s">
        <v>165</v>
      </c>
      <c r="B78" s="5">
        <v>70.838200000000001</v>
      </c>
    </row>
    <row r="79" spans="1:2" x14ac:dyDescent="0.3">
      <c r="A79" t="s">
        <v>172</v>
      </c>
      <c r="B79" s="5">
        <v>5.2667999999999999</v>
      </c>
    </row>
    <row r="80" spans="1:2" x14ac:dyDescent="0.3">
      <c r="A80" t="s">
        <v>179</v>
      </c>
      <c r="B80" s="5">
        <v>4.4721000000000002</v>
      </c>
    </row>
    <row r="81" spans="1:2" x14ac:dyDescent="0.3">
      <c r="A81" t="s">
        <v>186</v>
      </c>
      <c r="B81" s="5">
        <v>7.1558999999999999</v>
      </c>
    </row>
    <row r="82" spans="1:2" x14ac:dyDescent="0.3">
      <c r="A82" t="s">
        <v>193</v>
      </c>
      <c r="B82" s="5">
        <v>33.483400000000003</v>
      </c>
    </row>
    <row r="83" spans="1:2" x14ac:dyDescent="0.3">
      <c r="A83" t="s">
        <v>200</v>
      </c>
      <c r="B83" s="5">
        <v>53.700299999999999</v>
      </c>
    </row>
    <row r="84" spans="1:2" x14ac:dyDescent="0.3">
      <c r="A84" t="s">
        <v>207</v>
      </c>
      <c r="B84" s="5">
        <v>29.933599999999998</v>
      </c>
    </row>
    <row r="85" spans="1:2" x14ac:dyDescent="0.3">
      <c r="A85" t="s">
        <v>214</v>
      </c>
      <c r="B85" s="5">
        <v>33.326900000000002</v>
      </c>
    </row>
    <row r="86" spans="1:2" x14ac:dyDescent="0.3">
      <c r="A86" t="s">
        <v>221</v>
      </c>
      <c r="B86" s="5">
        <v>21.223400000000002</v>
      </c>
    </row>
    <row r="87" spans="1:2" x14ac:dyDescent="0.3">
      <c r="A87" t="s">
        <v>228</v>
      </c>
      <c r="B87" s="5">
        <v>20.253900000000002</v>
      </c>
    </row>
    <row r="88" spans="1:2" x14ac:dyDescent="0.3">
      <c r="A88" t="s">
        <v>235</v>
      </c>
      <c r="B88" s="5">
        <v>22.0928</v>
      </c>
    </row>
    <row r="89" spans="1:2" x14ac:dyDescent="0.3">
      <c r="A89" t="s">
        <v>242</v>
      </c>
      <c r="B89" s="5">
        <v>21.8979</v>
      </c>
    </row>
    <row r="90" spans="1:2" x14ac:dyDescent="0.3">
      <c r="A90" t="s">
        <v>249</v>
      </c>
      <c r="B90" s="5">
        <v>15.402200000000001</v>
      </c>
    </row>
    <row r="91" spans="1:2" x14ac:dyDescent="0.3">
      <c r="A91" t="s">
        <v>256</v>
      </c>
      <c r="B91" s="5">
        <v>78.445499999999996</v>
      </c>
    </row>
    <row r="92" spans="1:2" x14ac:dyDescent="0.3">
      <c r="A92" t="s">
        <v>263</v>
      </c>
      <c r="B92" s="5">
        <v>16.746400000000001</v>
      </c>
    </row>
    <row r="93" spans="1:2" x14ac:dyDescent="0.3">
      <c r="A93" t="s">
        <v>270</v>
      </c>
      <c r="B93" s="5">
        <v>12.458500000000001</v>
      </c>
    </row>
    <row r="94" spans="1:2" x14ac:dyDescent="0.3">
      <c r="A94" t="s">
        <v>277</v>
      </c>
      <c r="B94" s="5">
        <v>2.7528999999999999</v>
      </c>
    </row>
    <row r="95" spans="1:2" x14ac:dyDescent="0.3">
      <c r="A95" t="s">
        <v>284</v>
      </c>
      <c r="B95" s="5">
        <v>81.965699999999998</v>
      </c>
    </row>
    <row r="96" spans="1:2" x14ac:dyDescent="0.3">
      <c r="A96" t="s">
        <v>291</v>
      </c>
      <c r="B96" s="5">
        <v>89.507599999999996</v>
      </c>
    </row>
    <row r="97" spans="1:2" x14ac:dyDescent="0.3">
      <c r="A97" t="s">
        <v>298</v>
      </c>
      <c r="B97" s="5">
        <v>31.110800000000001</v>
      </c>
    </row>
    <row r="98" spans="1:2" x14ac:dyDescent="0.3">
      <c r="A98" t="s">
        <v>81</v>
      </c>
      <c r="B98" s="5">
        <v>3.6067999999999998</v>
      </c>
    </row>
    <row r="99" spans="1:2" x14ac:dyDescent="0.3">
      <c r="A99" t="s">
        <v>88</v>
      </c>
      <c r="B99" s="5">
        <v>5.3361000000000001</v>
      </c>
    </row>
    <row r="100" spans="1:2" x14ac:dyDescent="0.3">
      <c r="A100" t="s">
        <v>95</v>
      </c>
      <c r="B100" s="5">
        <v>17.327100000000002</v>
      </c>
    </row>
    <row r="101" spans="1:2" x14ac:dyDescent="0.3">
      <c r="A101" t="s">
        <v>102</v>
      </c>
      <c r="B101" s="5">
        <v>62.958300000000001</v>
      </c>
    </row>
    <row r="102" spans="1:2" x14ac:dyDescent="0.3">
      <c r="A102" t="s">
        <v>109</v>
      </c>
      <c r="B102" s="5">
        <v>81.196100000000001</v>
      </c>
    </row>
    <row r="103" spans="1:2" x14ac:dyDescent="0.3">
      <c r="A103" t="s">
        <v>116</v>
      </c>
      <c r="B103" s="5">
        <v>26.887899999999998</v>
      </c>
    </row>
    <row r="104" spans="1:2" x14ac:dyDescent="0.3">
      <c r="A104" t="s">
        <v>123</v>
      </c>
      <c r="B104" s="5">
        <v>8.8646999999999991</v>
      </c>
    </row>
    <row r="105" spans="1:2" x14ac:dyDescent="0.3">
      <c r="A105" t="s">
        <v>130</v>
      </c>
      <c r="B105" s="5">
        <v>27.055299999999999</v>
      </c>
    </row>
    <row r="106" spans="1:2" x14ac:dyDescent="0.3">
      <c r="A106" t="s">
        <v>137</v>
      </c>
      <c r="B106" s="5">
        <v>73.277000000000001</v>
      </c>
    </row>
    <row r="107" spans="1:2" x14ac:dyDescent="0.3">
      <c r="A107" t="s">
        <v>144</v>
      </c>
      <c r="B107" s="5">
        <v>82.426699999999997</v>
      </c>
    </row>
    <row r="108" spans="1:2" x14ac:dyDescent="0.3">
      <c r="A108" t="s">
        <v>151</v>
      </c>
      <c r="B108" s="5">
        <v>23.601099999999999</v>
      </c>
    </row>
    <row r="109" spans="1:2" x14ac:dyDescent="0.3">
      <c r="A109" t="s">
        <v>158</v>
      </c>
      <c r="B109" s="5">
        <v>2.6029</v>
      </c>
    </row>
    <row r="110" spans="1:2" x14ac:dyDescent="0.3">
      <c r="A110" t="s">
        <v>165</v>
      </c>
      <c r="B110" s="5">
        <v>68.391199999999998</v>
      </c>
    </row>
    <row r="111" spans="1:2" x14ac:dyDescent="0.3">
      <c r="A111" t="s">
        <v>172</v>
      </c>
      <c r="B111" s="5">
        <v>5.4554</v>
      </c>
    </row>
    <row r="112" spans="1:2" x14ac:dyDescent="0.3">
      <c r="A112" t="s">
        <v>179</v>
      </c>
      <c r="B112" s="5">
        <v>4.4353999999999996</v>
      </c>
    </row>
    <row r="113" spans="1:2" x14ac:dyDescent="0.3">
      <c r="A113" t="s">
        <v>186</v>
      </c>
      <c r="B113" s="5">
        <v>7.5102000000000002</v>
      </c>
    </row>
    <row r="114" spans="1:2" x14ac:dyDescent="0.3">
      <c r="A114" t="s">
        <v>193</v>
      </c>
      <c r="B114" s="5">
        <v>35.410600000000002</v>
      </c>
    </row>
    <row r="115" spans="1:2" x14ac:dyDescent="0.3">
      <c r="A115" t="s">
        <v>200</v>
      </c>
      <c r="B115" s="5">
        <v>56.258899999999997</v>
      </c>
    </row>
    <row r="116" spans="1:2" x14ac:dyDescent="0.3">
      <c r="A116" t="s">
        <v>207</v>
      </c>
      <c r="B116" s="5">
        <v>33.092399999999998</v>
      </c>
    </row>
    <row r="117" spans="1:2" x14ac:dyDescent="0.3">
      <c r="A117" t="s">
        <v>214</v>
      </c>
      <c r="B117" s="5">
        <v>35.170299999999997</v>
      </c>
    </row>
    <row r="118" spans="1:2" x14ac:dyDescent="0.3">
      <c r="A118" t="s">
        <v>221</v>
      </c>
      <c r="B118" s="5">
        <v>20.398099999999999</v>
      </c>
    </row>
    <row r="119" spans="1:2" x14ac:dyDescent="0.3">
      <c r="A119" t="s">
        <v>228</v>
      </c>
      <c r="B119" s="5">
        <v>21.801600000000001</v>
      </c>
    </row>
    <row r="120" spans="1:2" x14ac:dyDescent="0.3">
      <c r="A120" t="s">
        <v>235</v>
      </c>
      <c r="B120" s="5">
        <v>21.719799999999999</v>
      </c>
    </row>
    <row r="121" spans="1:2" x14ac:dyDescent="0.3">
      <c r="A121" t="s">
        <v>242</v>
      </c>
      <c r="B121" s="5">
        <v>24.361000000000001</v>
      </c>
    </row>
    <row r="122" spans="1:2" x14ac:dyDescent="0.3">
      <c r="A122" t="s">
        <v>249</v>
      </c>
      <c r="B122" s="5">
        <v>18.137799999999999</v>
      </c>
    </row>
    <row r="123" spans="1:2" x14ac:dyDescent="0.3">
      <c r="A123" t="s">
        <v>256</v>
      </c>
      <c r="B123" s="5">
        <v>76.549800000000005</v>
      </c>
    </row>
    <row r="124" spans="1:2" x14ac:dyDescent="0.3">
      <c r="A124" t="s">
        <v>263</v>
      </c>
      <c r="B124" s="5">
        <v>18.073699999999999</v>
      </c>
    </row>
    <row r="125" spans="1:2" x14ac:dyDescent="0.3">
      <c r="A125" t="s">
        <v>270</v>
      </c>
      <c r="B125" s="5">
        <v>12.934900000000001</v>
      </c>
    </row>
    <row r="126" spans="1:2" x14ac:dyDescent="0.3">
      <c r="A126" t="s">
        <v>277</v>
      </c>
      <c r="B126" s="5">
        <v>2.7730000000000001</v>
      </c>
    </row>
    <row r="127" spans="1:2" x14ac:dyDescent="0.3">
      <c r="A127" t="s">
        <v>284</v>
      </c>
      <c r="B127" s="5">
        <v>83.872600000000006</v>
      </c>
    </row>
    <row r="128" spans="1:2" x14ac:dyDescent="0.3">
      <c r="A128" t="s">
        <v>291</v>
      </c>
      <c r="B128" s="5">
        <v>91.469899999999996</v>
      </c>
    </row>
    <row r="129" spans="1:2" x14ac:dyDescent="0.3">
      <c r="A129" t="s">
        <v>298</v>
      </c>
      <c r="B129" s="5">
        <v>32.767800000000001</v>
      </c>
    </row>
    <row r="130" spans="1:2" x14ac:dyDescent="0.3">
      <c r="A130" t="s">
        <v>81</v>
      </c>
      <c r="B130" s="5">
        <v>3.6107</v>
      </c>
    </row>
    <row r="131" spans="1:2" x14ac:dyDescent="0.3">
      <c r="A131" t="s">
        <v>88</v>
      </c>
      <c r="B131" s="5">
        <v>5.23</v>
      </c>
    </row>
    <row r="132" spans="1:2" x14ac:dyDescent="0.3">
      <c r="A132" t="s">
        <v>95</v>
      </c>
      <c r="B132" s="5">
        <v>18.217199999999998</v>
      </c>
    </row>
    <row r="133" spans="1:2" x14ac:dyDescent="0.3">
      <c r="A133" t="s">
        <v>102</v>
      </c>
      <c r="B133" s="5">
        <v>63.665500000000002</v>
      </c>
    </row>
    <row r="134" spans="1:2" x14ac:dyDescent="0.3">
      <c r="A134" t="s">
        <v>109</v>
      </c>
      <c r="B134" s="5">
        <v>80.853899999999996</v>
      </c>
    </row>
    <row r="135" spans="1:2" x14ac:dyDescent="0.3">
      <c r="A135" t="s">
        <v>116</v>
      </c>
      <c r="B135" s="5">
        <v>26.378900000000002</v>
      </c>
    </row>
    <row r="136" spans="1:2" x14ac:dyDescent="0.3">
      <c r="A136" t="s">
        <v>123</v>
      </c>
      <c r="B136" s="5">
        <v>8.8484999999999996</v>
      </c>
    </row>
    <row r="137" spans="1:2" x14ac:dyDescent="0.3">
      <c r="A137" t="s">
        <v>130</v>
      </c>
      <c r="B137" s="5">
        <v>27.570699999999999</v>
      </c>
    </row>
    <row r="138" spans="1:2" x14ac:dyDescent="0.3">
      <c r="A138" t="s">
        <v>137</v>
      </c>
      <c r="B138" s="5">
        <v>73.983599999999996</v>
      </c>
    </row>
    <row r="139" spans="1:2" x14ac:dyDescent="0.3">
      <c r="A139" t="s">
        <v>144</v>
      </c>
      <c r="B139" s="5">
        <v>80.835800000000006</v>
      </c>
    </row>
    <row r="140" spans="1:2" x14ac:dyDescent="0.3">
      <c r="A140" t="s">
        <v>151</v>
      </c>
      <c r="B140" s="5">
        <v>23.891999999999999</v>
      </c>
    </row>
    <row r="141" spans="1:2" x14ac:dyDescent="0.3">
      <c r="A141" t="s">
        <v>158</v>
      </c>
      <c r="B141" s="5">
        <v>2.6004</v>
      </c>
    </row>
    <row r="142" spans="1:2" x14ac:dyDescent="0.3">
      <c r="A142" t="s">
        <v>165</v>
      </c>
      <c r="B142" s="5">
        <v>68.583500000000001</v>
      </c>
    </row>
    <row r="143" spans="1:2" x14ac:dyDescent="0.3">
      <c r="A143" t="s">
        <v>172</v>
      </c>
      <c r="B143" s="5">
        <v>5.6574</v>
      </c>
    </row>
    <row r="144" spans="1:2" x14ac:dyDescent="0.3">
      <c r="A144" t="s">
        <v>179</v>
      </c>
      <c r="B144" s="5">
        <v>4.4642999999999997</v>
      </c>
    </row>
    <row r="145" spans="1:2" x14ac:dyDescent="0.3">
      <c r="A145" t="s">
        <v>186</v>
      </c>
      <c r="B145" s="5">
        <v>7.8475000000000001</v>
      </c>
    </row>
    <row r="146" spans="1:2" x14ac:dyDescent="0.3">
      <c r="A146" t="s">
        <v>193</v>
      </c>
      <c r="B146" s="5">
        <v>36.182299999999998</v>
      </c>
    </row>
    <row r="147" spans="1:2" x14ac:dyDescent="0.3">
      <c r="A147" t="s">
        <v>200</v>
      </c>
      <c r="B147" s="5">
        <v>56.500100000000003</v>
      </c>
    </row>
    <row r="148" spans="1:2" x14ac:dyDescent="0.3">
      <c r="A148" t="s">
        <v>207</v>
      </c>
      <c r="B148" s="5">
        <v>33.938899999999997</v>
      </c>
    </row>
    <row r="149" spans="1:2" x14ac:dyDescent="0.3">
      <c r="A149" t="s">
        <v>214</v>
      </c>
      <c r="B149" s="5">
        <v>36.093899999999998</v>
      </c>
    </row>
    <row r="150" spans="1:2" x14ac:dyDescent="0.3">
      <c r="A150" t="s">
        <v>221</v>
      </c>
      <c r="B150" s="5">
        <v>21.355</v>
      </c>
    </row>
    <row r="151" spans="1:2" x14ac:dyDescent="0.3">
      <c r="A151" t="s">
        <v>228</v>
      </c>
      <c r="B151" s="5">
        <v>21.603000000000002</v>
      </c>
    </row>
    <row r="152" spans="1:2" x14ac:dyDescent="0.3">
      <c r="A152" t="s">
        <v>235</v>
      </c>
      <c r="B152" s="5">
        <v>22.932400000000001</v>
      </c>
    </row>
    <row r="153" spans="1:2" x14ac:dyDescent="0.3">
      <c r="A153" t="s">
        <v>242</v>
      </c>
      <c r="B153" s="5">
        <v>25.532699999999998</v>
      </c>
    </row>
    <row r="154" spans="1:2" x14ac:dyDescent="0.3">
      <c r="A154" t="s">
        <v>249</v>
      </c>
      <c r="B154" s="5">
        <v>18.879200000000001</v>
      </c>
    </row>
    <row r="155" spans="1:2" x14ac:dyDescent="0.3">
      <c r="A155" t="s">
        <v>256</v>
      </c>
      <c r="B155" s="5">
        <v>76.809299999999993</v>
      </c>
    </row>
    <row r="156" spans="1:2" x14ac:dyDescent="0.3">
      <c r="A156" t="s">
        <v>263</v>
      </c>
      <c r="B156" s="5">
        <v>18.824300000000001</v>
      </c>
    </row>
    <row r="157" spans="1:2" x14ac:dyDescent="0.3">
      <c r="A157" t="s">
        <v>270</v>
      </c>
      <c r="B157" s="5">
        <v>13.1327</v>
      </c>
    </row>
    <row r="158" spans="1:2" x14ac:dyDescent="0.3">
      <c r="A158" t="s">
        <v>277</v>
      </c>
      <c r="B158" s="5">
        <v>2.7629999999999999</v>
      </c>
    </row>
    <row r="159" spans="1:2" x14ac:dyDescent="0.3">
      <c r="A159" t="s">
        <v>284</v>
      </c>
      <c r="B159" s="5">
        <v>82.716899999999995</v>
      </c>
    </row>
    <row r="160" spans="1:2" x14ac:dyDescent="0.3">
      <c r="A160" t="s">
        <v>291</v>
      </c>
      <c r="B160" s="5">
        <v>90.944800000000001</v>
      </c>
    </row>
    <row r="161" spans="1:2" x14ac:dyDescent="0.3">
      <c r="A161" t="s">
        <v>298</v>
      </c>
      <c r="B161" s="5">
        <v>32.761400000000002</v>
      </c>
    </row>
    <row r="162" spans="1:2" x14ac:dyDescent="0.3">
      <c r="A162" t="s">
        <v>81</v>
      </c>
      <c r="B162" s="5">
        <v>3.7065999999999999</v>
      </c>
    </row>
    <row r="163" spans="1:2" x14ac:dyDescent="0.3">
      <c r="A163" t="s">
        <v>88</v>
      </c>
      <c r="B163" s="5">
        <v>5.2976000000000001</v>
      </c>
    </row>
    <row r="164" spans="1:2" x14ac:dyDescent="0.3">
      <c r="A164" t="s">
        <v>95</v>
      </c>
      <c r="B164" s="5">
        <v>19.157699999999998</v>
      </c>
    </row>
    <row r="165" spans="1:2" x14ac:dyDescent="0.3">
      <c r="A165" t="s">
        <v>102</v>
      </c>
      <c r="B165" s="5">
        <v>64.943100000000001</v>
      </c>
    </row>
    <row r="166" spans="1:2" x14ac:dyDescent="0.3">
      <c r="A166" t="s">
        <v>109</v>
      </c>
      <c r="B166" s="5">
        <v>80.862300000000005</v>
      </c>
    </row>
    <row r="167" spans="1:2" x14ac:dyDescent="0.3">
      <c r="A167" t="s">
        <v>116</v>
      </c>
      <c r="B167" s="5">
        <v>25.835899999999999</v>
      </c>
    </row>
    <row r="168" spans="1:2" x14ac:dyDescent="0.3">
      <c r="A168" t="s">
        <v>123</v>
      </c>
      <c r="B168" s="5">
        <v>9.1568000000000005</v>
      </c>
    </row>
    <row r="169" spans="1:2" x14ac:dyDescent="0.3">
      <c r="A169" t="s">
        <v>130</v>
      </c>
      <c r="B169" s="5">
        <v>28.623899999999999</v>
      </c>
    </row>
    <row r="170" spans="1:2" x14ac:dyDescent="0.3">
      <c r="A170" t="s">
        <v>137</v>
      </c>
      <c r="B170" s="5">
        <v>73.5197</v>
      </c>
    </row>
    <row r="171" spans="1:2" x14ac:dyDescent="0.3">
      <c r="A171" t="s">
        <v>144</v>
      </c>
      <c r="B171" s="5">
        <v>79.480500000000006</v>
      </c>
    </row>
    <row r="172" spans="1:2" x14ac:dyDescent="0.3">
      <c r="A172" t="s">
        <v>151</v>
      </c>
      <c r="B172" s="5">
        <v>24.7456</v>
      </c>
    </row>
    <row r="173" spans="1:2" x14ac:dyDescent="0.3">
      <c r="A173" t="s">
        <v>158</v>
      </c>
      <c r="B173" s="5">
        <v>2.6225000000000001</v>
      </c>
    </row>
    <row r="174" spans="1:2" x14ac:dyDescent="0.3">
      <c r="A174" t="s">
        <v>165</v>
      </c>
      <c r="B174" s="5">
        <v>68.7607</v>
      </c>
    </row>
    <row r="175" spans="1:2" x14ac:dyDescent="0.3">
      <c r="A175" t="s">
        <v>172</v>
      </c>
      <c r="B175" s="5">
        <v>5.9313000000000002</v>
      </c>
    </row>
    <row r="176" spans="1:2" x14ac:dyDescent="0.3">
      <c r="A176" t="s">
        <v>179</v>
      </c>
      <c r="B176" s="5">
        <v>4.5827</v>
      </c>
    </row>
    <row r="177" spans="1:2" x14ac:dyDescent="0.3">
      <c r="A177" t="s">
        <v>186</v>
      </c>
      <c r="B177" s="5">
        <v>8.0801999999999996</v>
      </c>
    </row>
    <row r="178" spans="1:2" x14ac:dyDescent="0.3">
      <c r="A178" t="s">
        <v>193</v>
      </c>
      <c r="B178" s="5">
        <v>37.212200000000003</v>
      </c>
    </row>
    <row r="179" spans="1:2" x14ac:dyDescent="0.3">
      <c r="A179" t="s">
        <v>200</v>
      </c>
      <c r="B179" s="5">
        <v>57.779499999999999</v>
      </c>
    </row>
    <row r="180" spans="1:2" x14ac:dyDescent="0.3">
      <c r="A180" t="s">
        <v>207</v>
      </c>
      <c r="B180" s="5">
        <v>34.924399999999999</v>
      </c>
    </row>
    <row r="181" spans="1:2" x14ac:dyDescent="0.3">
      <c r="A181" t="s">
        <v>214</v>
      </c>
      <c r="B181" s="5">
        <v>37.232399999999998</v>
      </c>
    </row>
    <row r="182" spans="1:2" x14ac:dyDescent="0.3">
      <c r="A182" t="s">
        <v>221</v>
      </c>
      <c r="B182" s="5">
        <v>22.319800000000001</v>
      </c>
    </row>
    <row r="183" spans="1:2" x14ac:dyDescent="0.3">
      <c r="A183" t="s">
        <v>228</v>
      </c>
      <c r="B183" s="5">
        <v>23.029800000000002</v>
      </c>
    </row>
    <row r="184" spans="1:2" x14ac:dyDescent="0.3">
      <c r="A184" t="s">
        <v>235</v>
      </c>
      <c r="B184" s="5">
        <v>22.9331</v>
      </c>
    </row>
    <row r="185" spans="1:2" x14ac:dyDescent="0.3">
      <c r="A185" t="s">
        <v>242</v>
      </c>
      <c r="B185" s="5">
        <v>26.292899999999999</v>
      </c>
    </row>
    <row r="186" spans="1:2" x14ac:dyDescent="0.3">
      <c r="A186" t="s">
        <v>249</v>
      </c>
      <c r="B186" s="5">
        <v>19.587499999999999</v>
      </c>
    </row>
    <row r="187" spans="1:2" x14ac:dyDescent="0.3">
      <c r="A187" t="s">
        <v>256</v>
      </c>
      <c r="B187" s="5">
        <v>79.383099999999999</v>
      </c>
    </row>
    <row r="188" spans="1:2" x14ac:dyDescent="0.3">
      <c r="A188" t="s">
        <v>263</v>
      </c>
      <c r="B188" s="5">
        <v>19.929400000000001</v>
      </c>
    </row>
    <row r="189" spans="1:2" x14ac:dyDescent="0.3">
      <c r="A189" t="s">
        <v>270</v>
      </c>
      <c r="B189" s="5">
        <v>12.5334</v>
      </c>
    </row>
    <row r="190" spans="1:2" x14ac:dyDescent="0.3">
      <c r="A190" t="s">
        <v>277</v>
      </c>
      <c r="B190" s="5">
        <v>2.7117</v>
      </c>
    </row>
    <row r="191" spans="1:2" x14ac:dyDescent="0.3">
      <c r="A191" t="s">
        <v>284</v>
      </c>
      <c r="B191" s="5">
        <v>81.529700000000005</v>
      </c>
    </row>
    <row r="192" spans="1:2" x14ac:dyDescent="0.3">
      <c r="A192" t="s">
        <v>291</v>
      </c>
      <c r="B192" s="5">
        <v>90.640199999999993</v>
      </c>
    </row>
    <row r="193" spans="1:2" x14ac:dyDescent="0.3">
      <c r="A193" t="s">
        <v>298</v>
      </c>
      <c r="B193" s="5">
        <v>33.447499999999998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A8BC-A545-4B05-86BC-2E171C8E3D06}">
  <dimension ref="A2:B95"/>
  <sheetViews>
    <sheetView topLeftCell="A2" workbookViewId="0">
      <selection activeCell="A2" sqref="A2:B54"/>
    </sheetView>
  </sheetViews>
  <sheetFormatPr defaultRowHeight="14.4" x14ac:dyDescent="0.3"/>
  <cols>
    <col min="2" max="2" width="14.21875" bestFit="1" customWidth="1"/>
  </cols>
  <sheetData>
    <row r="2" spans="1:2" x14ac:dyDescent="0.3">
      <c r="A2" t="s">
        <v>305</v>
      </c>
      <c r="B2" s="5">
        <v>44.53</v>
      </c>
    </row>
    <row r="3" spans="1:2" x14ac:dyDescent="0.3">
      <c r="A3" t="s">
        <v>305</v>
      </c>
      <c r="B3" s="5">
        <v>50.57</v>
      </c>
    </row>
    <row r="4" spans="1:2" x14ac:dyDescent="0.3">
      <c r="A4" t="s">
        <v>305</v>
      </c>
      <c r="B4" s="5">
        <v>26.94</v>
      </c>
    </row>
    <row r="5" spans="1:2" x14ac:dyDescent="0.3">
      <c r="A5" t="s">
        <v>305</v>
      </c>
      <c r="B5" s="5">
        <v>61.54</v>
      </c>
    </row>
    <row r="6" spans="1:2" x14ac:dyDescent="0.3">
      <c r="A6" t="s">
        <v>305</v>
      </c>
      <c r="B6" s="5">
        <v>34.47</v>
      </c>
    </row>
    <row r="7" spans="1:2" x14ac:dyDescent="0.3">
      <c r="A7" t="s">
        <v>305</v>
      </c>
      <c r="B7" s="5">
        <v>36.4</v>
      </c>
    </row>
    <row r="8" spans="1:2" x14ac:dyDescent="0.3">
      <c r="A8" t="s">
        <v>305</v>
      </c>
      <c r="B8" s="5">
        <v>32.68</v>
      </c>
    </row>
    <row r="9" spans="1:2" x14ac:dyDescent="0.3">
      <c r="A9" t="s">
        <v>305</v>
      </c>
      <c r="B9" s="5">
        <v>42.66</v>
      </c>
    </row>
    <row r="10" spans="1:2" x14ac:dyDescent="0.3">
      <c r="A10" t="s">
        <v>305</v>
      </c>
      <c r="B10" s="5">
        <v>47.68</v>
      </c>
    </row>
    <row r="11" spans="1:2" x14ac:dyDescent="0.3">
      <c r="A11" t="s">
        <v>305</v>
      </c>
      <c r="B11" s="5">
        <v>43.39</v>
      </c>
    </row>
    <row r="12" spans="1:2" x14ac:dyDescent="0.3">
      <c r="A12" t="s">
        <v>305</v>
      </c>
      <c r="B12" s="5">
        <v>49.76</v>
      </c>
    </row>
    <row r="13" spans="1:2" x14ac:dyDescent="0.3">
      <c r="A13" t="s">
        <v>305</v>
      </c>
      <c r="B13" s="5">
        <v>49.67</v>
      </c>
    </row>
    <row r="14" spans="1:2" x14ac:dyDescent="0.3">
      <c r="A14" t="s">
        <v>305</v>
      </c>
      <c r="B14" s="5">
        <v>33.07</v>
      </c>
    </row>
    <row r="15" spans="1:2" x14ac:dyDescent="0.3">
      <c r="A15" t="s">
        <v>305</v>
      </c>
      <c r="B15" s="5">
        <v>43.96</v>
      </c>
    </row>
    <row r="16" spans="1:2" x14ac:dyDescent="0.3">
      <c r="A16" t="s">
        <v>305</v>
      </c>
      <c r="B16" s="5">
        <v>46.09</v>
      </c>
    </row>
    <row r="17" spans="1:2" x14ac:dyDescent="0.3">
      <c r="A17" t="s">
        <v>305</v>
      </c>
      <c r="B17" s="5">
        <v>61.13</v>
      </c>
    </row>
    <row r="18" spans="1:2" x14ac:dyDescent="0.3">
      <c r="A18" t="s">
        <v>305</v>
      </c>
      <c r="B18" s="5">
        <v>46.19</v>
      </c>
    </row>
    <row r="19" spans="1:2" x14ac:dyDescent="0.3">
      <c r="A19" t="s">
        <v>305</v>
      </c>
      <c r="B19" s="5">
        <v>35.119999999999997</v>
      </c>
    </row>
    <row r="20" spans="1:2" x14ac:dyDescent="0.3">
      <c r="A20" t="s">
        <v>305</v>
      </c>
      <c r="B20" s="5">
        <v>56.85</v>
      </c>
    </row>
    <row r="21" spans="1:2" x14ac:dyDescent="0.3">
      <c r="A21" t="s">
        <v>305</v>
      </c>
      <c r="B21" s="5">
        <v>53.47</v>
      </c>
    </row>
    <row r="22" spans="1:2" x14ac:dyDescent="0.3">
      <c r="A22" t="s">
        <v>305</v>
      </c>
      <c r="B22" s="5">
        <v>47.41</v>
      </c>
    </row>
    <row r="23" spans="1:2" x14ac:dyDescent="0.3">
      <c r="A23" t="s">
        <v>305</v>
      </c>
      <c r="B23" s="5">
        <v>34.71</v>
      </c>
    </row>
    <row r="24" spans="1:2" x14ac:dyDescent="0.3">
      <c r="A24" t="s">
        <v>305</v>
      </c>
      <c r="B24" s="5">
        <v>51.64</v>
      </c>
    </row>
    <row r="25" spans="1:2" x14ac:dyDescent="0.3">
      <c r="A25" t="s">
        <v>305</v>
      </c>
      <c r="B25" s="5">
        <v>58.03</v>
      </c>
    </row>
    <row r="26" spans="1:2" x14ac:dyDescent="0.3">
      <c r="A26" t="s">
        <v>305</v>
      </c>
      <c r="B26" s="5">
        <v>54.88</v>
      </c>
    </row>
    <row r="27" spans="1:2" x14ac:dyDescent="0.3">
      <c r="A27" t="s">
        <v>305</v>
      </c>
      <c r="B27" s="5">
        <v>44.43</v>
      </c>
    </row>
    <row r="28" spans="1:2" x14ac:dyDescent="0.3">
      <c r="A28" t="s">
        <v>305</v>
      </c>
      <c r="B28" s="5">
        <v>51.14</v>
      </c>
    </row>
    <row r="29" spans="1:2" x14ac:dyDescent="0.3">
      <c r="A29" t="s">
        <v>305</v>
      </c>
      <c r="B29" s="5">
        <v>63.5</v>
      </c>
    </row>
    <row r="30" spans="1:2" x14ac:dyDescent="0.3">
      <c r="A30" t="s">
        <v>305</v>
      </c>
      <c r="B30" s="5">
        <v>49.32</v>
      </c>
    </row>
    <row r="31" spans="1:2" x14ac:dyDescent="0.3">
      <c r="A31" t="s">
        <v>305</v>
      </c>
      <c r="B31" s="5">
        <v>48.92</v>
      </c>
    </row>
    <row r="32" spans="1:2" x14ac:dyDescent="0.3">
      <c r="A32" t="s">
        <v>305</v>
      </c>
      <c r="B32" s="5">
        <v>62.62</v>
      </c>
    </row>
    <row r="33" spans="1:2" x14ac:dyDescent="0.3">
      <c r="A33" t="s">
        <v>305</v>
      </c>
      <c r="B33" s="5">
        <v>55.63</v>
      </c>
    </row>
    <row r="34" spans="1:2" x14ac:dyDescent="0.3">
      <c r="A34" t="s">
        <v>305</v>
      </c>
      <c r="B34" s="5">
        <v>44.34</v>
      </c>
    </row>
    <row r="35" spans="1:2" x14ac:dyDescent="0.3">
      <c r="A35" t="s">
        <v>305</v>
      </c>
      <c r="B35" s="5">
        <v>44.36</v>
      </c>
    </row>
    <row r="36" spans="1:2" x14ac:dyDescent="0.3">
      <c r="A36" t="s">
        <v>305</v>
      </c>
      <c r="B36" s="5">
        <v>59.99</v>
      </c>
    </row>
    <row r="37" spans="1:2" x14ac:dyDescent="0.3">
      <c r="A37" t="s">
        <v>305</v>
      </c>
      <c r="B37" s="5">
        <v>50.35</v>
      </c>
    </row>
    <row r="38" spans="1:2" x14ac:dyDescent="0.3">
      <c r="A38" t="s">
        <v>305</v>
      </c>
      <c r="B38" s="5">
        <v>43.28</v>
      </c>
    </row>
    <row r="39" spans="1:2" x14ac:dyDescent="0.3">
      <c r="A39" t="s">
        <v>305</v>
      </c>
      <c r="B39" s="5">
        <v>59.3</v>
      </c>
    </row>
    <row r="40" spans="1:2" x14ac:dyDescent="0.3">
      <c r="A40" t="s">
        <v>305</v>
      </c>
      <c r="B40" s="5">
        <v>47.45</v>
      </c>
    </row>
    <row r="41" spans="1:2" x14ac:dyDescent="0.3">
      <c r="A41" t="s">
        <v>305</v>
      </c>
      <c r="B41" s="5">
        <v>49.95</v>
      </c>
    </row>
    <row r="42" spans="1:2" x14ac:dyDescent="0.3">
      <c r="A42" t="s">
        <v>305</v>
      </c>
      <c r="B42" s="5">
        <v>44.83</v>
      </c>
    </row>
    <row r="43" spans="1:2" x14ac:dyDescent="0.3">
      <c r="A43" t="s">
        <v>305</v>
      </c>
      <c r="B43" s="5">
        <v>49.98</v>
      </c>
    </row>
    <row r="44" spans="1:2" x14ac:dyDescent="0.3">
      <c r="A44" t="s">
        <v>306</v>
      </c>
      <c r="B44" s="5">
        <v>73.319999999999993</v>
      </c>
    </row>
    <row r="45" spans="1:2" x14ac:dyDescent="0.3">
      <c r="A45" t="s">
        <v>306</v>
      </c>
      <c r="B45" s="5">
        <v>56.74</v>
      </c>
    </row>
    <row r="46" spans="1:2" x14ac:dyDescent="0.3">
      <c r="A46" t="s">
        <v>306</v>
      </c>
      <c r="B46" s="5">
        <v>64.510000000000005</v>
      </c>
    </row>
    <row r="47" spans="1:2" x14ac:dyDescent="0.3">
      <c r="A47" t="s">
        <v>306</v>
      </c>
      <c r="B47" s="5">
        <v>72.05</v>
      </c>
    </row>
    <row r="48" spans="1:2" x14ac:dyDescent="0.3">
      <c r="A48" t="s">
        <v>306</v>
      </c>
      <c r="B48" s="5">
        <v>54.28</v>
      </c>
    </row>
    <row r="49" spans="1:2" x14ac:dyDescent="0.3">
      <c r="A49" t="s">
        <v>306</v>
      </c>
      <c r="B49" s="5">
        <v>54.67</v>
      </c>
    </row>
    <row r="50" spans="1:2" x14ac:dyDescent="0.3">
      <c r="A50" t="s">
        <v>306</v>
      </c>
      <c r="B50" s="5">
        <v>60.22</v>
      </c>
    </row>
    <row r="51" spans="1:2" x14ac:dyDescent="0.3">
      <c r="A51" t="s">
        <v>306</v>
      </c>
      <c r="B51" s="5">
        <v>62.41</v>
      </c>
    </row>
    <row r="52" spans="1:2" x14ac:dyDescent="0.3">
      <c r="A52" t="s">
        <v>306</v>
      </c>
      <c r="B52" s="5">
        <v>51.44</v>
      </c>
    </row>
    <row r="53" spans="1:2" x14ac:dyDescent="0.3">
      <c r="A53" t="s">
        <v>306</v>
      </c>
      <c r="B53" s="5">
        <v>58.21</v>
      </c>
    </row>
    <row r="54" spans="1:2" x14ac:dyDescent="0.3">
      <c r="A54" t="s">
        <v>306</v>
      </c>
      <c r="B54" s="5">
        <v>60.86</v>
      </c>
    </row>
    <row r="75" spans="1:2" x14ac:dyDescent="0.3">
      <c r="A75" t="s">
        <v>306</v>
      </c>
      <c r="B75">
        <v>60.04</v>
      </c>
    </row>
    <row r="76" spans="1:2" x14ac:dyDescent="0.3">
      <c r="A76" t="s">
        <v>306</v>
      </c>
      <c r="B76">
        <v>64.319999999999993</v>
      </c>
    </row>
    <row r="77" spans="1:2" x14ac:dyDescent="0.3">
      <c r="A77" t="s">
        <v>306</v>
      </c>
      <c r="B77">
        <v>47.02</v>
      </c>
    </row>
    <row r="78" spans="1:2" x14ac:dyDescent="0.3">
      <c r="A78" t="s">
        <v>306</v>
      </c>
      <c r="B78">
        <v>61.3</v>
      </c>
    </row>
    <row r="79" spans="1:2" x14ac:dyDescent="0.3">
      <c r="A79" t="s">
        <v>306</v>
      </c>
      <c r="B79">
        <v>58.09</v>
      </c>
    </row>
    <row r="80" spans="1:2" x14ac:dyDescent="0.3">
      <c r="A80" t="s">
        <v>306</v>
      </c>
      <c r="B80">
        <v>56.53</v>
      </c>
    </row>
    <row r="81" spans="1:2" x14ac:dyDescent="0.3">
      <c r="A81" t="s">
        <v>306</v>
      </c>
      <c r="B81">
        <v>69.98</v>
      </c>
    </row>
    <row r="82" spans="1:2" x14ac:dyDescent="0.3">
      <c r="A82" t="s">
        <v>306</v>
      </c>
      <c r="B82">
        <v>66</v>
      </c>
    </row>
    <row r="83" spans="1:2" x14ac:dyDescent="0.3">
      <c r="A83" t="s">
        <v>306</v>
      </c>
      <c r="B83">
        <v>53.86</v>
      </c>
    </row>
    <row r="84" spans="1:2" x14ac:dyDescent="0.3">
      <c r="A84" t="s">
        <v>306</v>
      </c>
      <c r="B84">
        <v>50.15</v>
      </c>
    </row>
    <row r="85" spans="1:2" x14ac:dyDescent="0.3">
      <c r="A85" t="s">
        <v>306</v>
      </c>
      <c r="B85">
        <v>48.72</v>
      </c>
    </row>
    <row r="86" spans="1:2" x14ac:dyDescent="0.3">
      <c r="A86" t="s">
        <v>306</v>
      </c>
      <c r="B86">
        <v>60</v>
      </c>
    </row>
    <row r="87" spans="1:2" x14ac:dyDescent="0.3">
      <c r="A87" t="s">
        <v>306</v>
      </c>
      <c r="B87">
        <v>63.09</v>
      </c>
    </row>
    <row r="88" spans="1:2" x14ac:dyDescent="0.3">
      <c r="A88" t="s">
        <v>306</v>
      </c>
      <c r="B88">
        <v>60.16</v>
      </c>
    </row>
    <row r="89" spans="1:2" x14ac:dyDescent="0.3">
      <c r="A89" t="s">
        <v>306</v>
      </c>
      <c r="B89">
        <v>59.42</v>
      </c>
    </row>
    <row r="90" spans="1:2" x14ac:dyDescent="0.3">
      <c r="A90" t="s">
        <v>306</v>
      </c>
      <c r="B90">
        <v>51.08</v>
      </c>
    </row>
    <row r="91" spans="1:2" x14ac:dyDescent="0.3">
      <c r="A91" t="s">
        <v>307</v>
      </c>
      <c r="B91">
        <v>61.06</v>
      </c>
    </row>
    <row r="92" spans="1:2" x14ac:dyDescent="0.3">
      <c r="A92" t="s">
        <v>307</v>
      </c>
      <c r="B92">
        <v>63.78</v>
      </c>
    </row>
    <row r="93" spans="1:2" x14ac:dyDescent="0.3">
      <c r="A93" t="s">
        <v>307</v>
      </c>
      <c r="B93">
        <v>59.03</v>
      </c>
    </row>
    <row r="94" spans="1:2" x14ac:dyDescent="0.3">
      <c r="A94" t="s">
        <v>307</v>
      </c>
      <c r="B94">
        <v>54.41</v>
      </c>
    </row>
    <row r="95" spans="1:2" x14ac:dyDescent="0.3">
      <c r="A95" t="s">
        <v>307</v>
      </c>
      <c r="B95">
        <v>74.42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47C7-FCB0-42E3-ADC8-A3CCF0557EEC}">
  <dimension ref="A1:G15"/>
  <sheetViews>
    <sheetView workbookViewId="0">
      <selection sqref="A1:G15"/>
    </sheetView>
  </sheetViews>
  <sheetFormatPr defaultRowHeight="14.4" x14ac:dyDescent="0.3"/>
  <cols>
    <col min="6" max="6" width="12" bestFit="1" customWidth="1"/>
    <col min="7" max="7" width="14.109375" bestFit="1" customWidth="1"/>
  </cols>
  <sheetData>
    <row r="1" spans="1:7" x14ac:dyDescent="0.3">
      <c r="A1" t="s">
        <v>310</v>
      </c>
    </row>
    <row r="3" spans="1:7" ht="15" thickBot="1" x14ac:dyDescent="0.35">
      <c r="A3" t="s">
        <v>311</v>
      </c>
    </row>
    <row r="4" spans="1:7" x14ac:dyDescent="0.3">
      <c r="A4" s="11" t="s">
        <v>312</v>
      </c>
      <c r="B4" s="11" t="s">
        <v>313</v>
      </c>
      <c r="C4" s="11" t="s">
        <v>308</v>
      </c>
      <c r="D4" s="11" t="s">
        <v>309</v>
      </c>
      <c r="E4" s="11" t="s">
        <v>314</v>
      </c>
    </row>
    <row r="5" spans="1:7" x14ac:dyDescent="0.3">
      <c r="A5" s="9" t="s">
        <v>305</v>
      </c>
      <c r="B5" s="9">
        <v>42</v>
      </c>
      <c r="C5" s="9">
        <v>2012.23</v>
      </c>
      <c r="D5" s="9">
        <v>47.910238095238093</v>
      </c>
      <c r="E5" s="9">
        <v>77.206343844366856</v>
      </c>
    </row>
    <row r="6" spans="1:7" x14ac:dyDescent="0.3">
      <c r="A6" s="9" t="s">
        <v>306</v>
      </c>
      <c r="B6" s="9">
        <v>27</v>
      </c>
      <c r="C6" s="9">
        <v>1598.4699999999998</v>
      </c>
      <c r="D6" s="9">
        <v>59.202592592592588</v>
      </c>
      <c r="E6" s="9">
        <v>45.084089173790396</v>
      </c>
    </row>
    <row r="7" spans="1:7" ht="15" thickBot="1" x14ac:dyDescent="0.35">
      <c r="A7" s="10" t="s">
        <v>307</v>
      </c>
      <c r="B7" s="10">
        <v>5</v>
      </c>
      <c r="C7" s="10">
        <v>312.7</v>
      </c>
      <c r="D7" s="10">
        <v>62.54</v>
      </c>
      <c r="E7" s="10">
        <v>55.81985000000077</v>
      </c>
    </row>
    <row r="10" spans="1:7" ht="15" thickBot="1" x14ac:dyDescent="0.35">
      <c r="A10" t="s">
        <v>315</v>
      </c>
    </row>
    <row r="11" spans="1:7" x14ac:dyDescent="0.3">
      <c r="A11" s="11" t="s">
        <v>316</v>
      </c>
      <c r="B11" s="11" t="s">
        <v>317</v>
      </c>
      <c r="C11" s="11" t="s">
        <v>318</v>
      </c>
      <c r="D11" s="11" t="s">
        <v>319</v>
      </c>
      <c r="E11" s="11" t="s">
        <v>320</v>
      </c>
      <c r="F11" s="11" t="s">
        <v>321</v>
      </c>
      <c r="G11" s="11" t="s">
        <v>322</v>
      </c>
    </row>
    <row r="12" spans="1:7" x14ac:dyDescent="0.3">
      <c r="A12" s="9" t="s">
        <v>323</v>
      </c>
      <c r="B12" s="9">
        <v>2581.8180973759454</v>
      </c>
      <c r="C12" s="9">
        <v>2</v>
      </c>
      <c r="D12" s="9">
        <v>1290.9090486879727</v>
      </c>
      <c r="E12" s="9">
        <v>20.095600356522347</v>
      </c>
      <c r="F12" s="9">
        <v>1.2138680148239023E-7</v>
      </c>
      <c r="G12" s="9">
        <v>3.1257642368130321</v>
      </c>
    </row>
    <row r="13" spans="1:7" x14ac:dyDescent="0.3">
      <c r="A13" s="9" t="s">
        <v>324</v>
      </c>
      <c r="B13" s="9">
        <v>4560.9258161375665</v>
      </c>
      <c r="C13" s="9">
        <v>71</v>
      </c>
      <c r="D13" s="9">
        <v>64.238391776585445</v>
      </c>
      <c r="E13" s="9"/>
      <c r="F13" s="9"/>
      <c r="G13" s="9"/>
    </row>
    <row r="14" spans="1:7" x14ac:dyDescent="0.3">
      <c r="A14" s="9"/>
      <c r="B14" s="9"/>
      <c r="C14" s="9"/>
      <c r="D14" s="9"/>
      <c r="E14" s="9"/>
      <c r="F14" s="9"/>
      <c r="G14" s="9"/>
    </row>
    <row r="15" spans="1:7" ht="15" thickBot="1" x14ac:dyDescent="0.35">
      <c r="A15" s="10" t="s">
        <v>325</v>
      </c>
      <c r="B15" s="10">
        <v>7142.7439135135119</v>
      </c>
      <c r="C15" s="10">
        <v>73</v>
      </c>
      <c r="D15" s="10"/>
      <c r="E15" s="10"/>
      <c r="F15" s="10"/>
      <c r="G1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FD91-DF1C-4765-933E-B2F19129394B}">
  <dimension ref="A1:C43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305</v>
      </c>
      <c r="B1" t="s">
        <v>306</v>
      </c>
      <c r="C1" t="s">
        <v>307</v>
      </c>
    </row>
    <row r="2" spans="1:3" x14ac:dyDescent="0.3">
      <c r="A2">
        <v>44.53</v>
      </c>
      <c r="B2">
        <v>73.319999999999993</v>
      </c>
      <c r="C2">
        <v>61.06</v>
      </c>
    </row>
    <row r="3" spans="1:3" x14ac:dyDescent="0.3">
      <c r="A3">
        <v>50.57</v>
      </c>
      <c r="B3">
        <v>56.74</v>
      </c>
      <c r="C3">
        <v>63.78</v>
      </c>
    </row>
    <row r="4" spans="1:3" x14ac:dyDescent="0.3">
      <c r="A4">
        <v>26.94</v>
      </c>
      <c r="B4">
        <v>64.510000000000005</v>
      </c>
      <c r="C4">
        <v>59.03</v>
      </c>
    </row>
    <row r="5" spans="1:3" x14ac:dyDescent="0.3">
      <c r="A5">
        <v>61.54</v>
      </c>
      <c r="B5">
        <v>72.05</v>
      </c>
      <c r="C5">
        <v>54.41</v>
      </c>
    </row>
    <row r="6" spans="1:3" x14ac:dyDescent="0.3">
      <c r="A6">
        <v>34.47</v>
      </c>
      <c r="B6">
        <v>54.28</v>
      </c>
      <c r="C6">
        <v>74.42</v>
      </c>
    </row>
    <row r="7" spans="1:3" x14ac:dyDescent="0.3">
      <c r="A7">
        <v>36.4</v>
      </c>
      <c r="B7">
        <v>54.67</v>
      </c>
    </row>
    <row r="8" spans="1:3" x14ac:dyDescent="0.3">
      <c r="A8">
        <v>32.68</v>
      </c>
      <c r="B8">
        <v>60.22</v>
      </c>
    </row>
    <row r="9" spans="1:3" x14ac:dyDescent="0.3">
      <c r="A9">
        <v>42.66</v>
      </c>
      <c r="B9">
        <v>62.41</v>
      </c>
    </row>
    <row r="10" spans="1:3" x14ac:dyDescent="0.3">
      <c r="A10">
        <v>47.68</v>
      </c>
      <c r="B10">
        <v>51.44</v>
      </c>
    </row>
    <row r="11" spans="1:3" x14ac:dyDescent="0.3">
      <c r="A11">
        <v>43.39</v>
      </c>
      <c r="B11">
        <v>58.21</v>
      </c>
    </row>
    <row r="12" spans="1:3" x14ac:dyDescent="0.3">
      <c r="A12">
        <v>49.76</v>
      </c>
      <c r="B12">
        <v>60.86</v>
      </c>
    </row>
    <row r="13" spans="1:3" x14ac:dyDescent="0.3">
      <c r="A13">
        <v>49.67</v>
      </c>
      <c r="B13">
        <v>60.04</v>
      </c>
    </row>
    <row r="14" spans="1:3" x14ac:dyDescent="0.3">
      <c r="A14">
        <v>33.07</v>
      </c>
      <c r="B14">
        <v>64.319999999999993</v>
      </c>
    </row>
    <row r="15" spans="1:3" x14ac:dyDescent="0.3">
      <c r="A15">
        <v>43.96</v>
      </c>
      <c r="B15">
        <v>47.02</v>
      </c>
    </row>
    <row r="16" spans="1:3" x14ac:dyDescent="0.3">
      <c r="A16">
        <v>46.09</v>
      </c>
      <c r="B16">
        <v>61.3</v>
      </c>
    </row>
    <row r="17" spans="1:2" x14ac:dyDescent="0.3">
      <c r="A17">
        <v>61.13</v>
      </c>
      <c r="B17">
        <v>58.09</v>
      </c>
    </row>
    <row r="18" spans="1:2" x14ac:dyDescent="0.3">
      <c r="A18">
        <v>46.19</v>
      </c>
      <c r="B18">
        <v>56.53</v>
      </c>
    </row>
    <row r="19" spans="1:2" x14ac:dyDescent="0.3">
      <c r="A19">
        <v>35.119999999999997</v>
      </c>
      <c r="B19">
        <v>69.98</v>
      </c>
    </row>
    <row r="20" spans="1:2" x14ac:dyDescent="0.3">
      <c r="A20">
        <v>56.85</v>
      </c>
      <c r="B20">
        <v>66</v>
      </c>
    </row>
    <row r="21" spans="1:2" x14ac:dyDescent="0.3">
      <c r="A21">
        <v>53.47</v>
      </c>
      <c r="B21">
        <v>53.86</v>
      </c>
    </row>
    <row r="22" spans="1:2" x14ac:dyDescent="0.3">
      <c r="A22">
        <v>47.41</v>
      </c>
      <c r="B22">
        <v>50.15</v>
      </c>
    </row>
    <row r="23" spans="1:2" x14ac:dyDescent="0.3">
      <c r="A23">
        <v>34.71</v>
      </c>
      <c r="B23">
        <v>48.72</v>
      </c>
    </row>
    <row r="24" spans="1:2" x14ac:dyDescent="0.3">
      <c r="A24">
        <v>51.64</v>
      </c>
      <c r="B24">
        <v>60</v>
      </c>
    </row>
    <row r="25" spans="1:2" x14ac:dyDescent="0.3">
      <c r="A25">
        <v>58.03</v>
      </c>
      <c r="B25">
        <v>63.09</v>
      </c>
    </row>
    <row r="26" spans="1:2" x14ac:dyDescent="0.3">
      <c r="A26">
        <v>54.88</v>
      </c>
      <c r="B26">
        <v>60.16</v>
      </c>
    </row>
    <row r="27" spans="1:2" x14ac:dyDescent="0.3">
      <c r="A27">
        <v>44.43</v>
      </c>
      <c r="B27">
        <v>59.42</v>
      </c>
    </row>
    <row r="28" spans="1:2" x14ac:dyDescent="0.3">
      <c r="A28">
        <v>51.14</v>
      </c>
      <c r="B28">
        <v>51.08</v>
      </c>
    </row>
    <row r="29" spans="1:2" x14ac:dyDescent="0.3">
      <c r="A29">
        <v>63.5</v>
      </c>
    </row>
    <row r="30" spans="1:2" x14ac:dyDescent="0.3">
      <c r="A30">
        <v>49.32</v>
      </c>
    </row>
    <row r="31" spans="1:2" x14ac:dyDescent="0.3">
      <c r="A31">
        <v>48.92</v>
      </c>
    </row>
    <row r="32" spans="1:2" x14ac:dyDescent="0.3">
      <c r="A32">
        <v>62.62</v>
      </c>
    </row>
    <row r="33" spans="1:1" x14ac:dyDescent="0.3">
      <c r="A33">
        <v>55.63</v>
      </c>
    </row>
    <row r="34" spans="1:1" x14ac:dyDescent="0.3">
      <c r="A34">
        <v>44.34</v>
      </c>
    </row>
    <row r="35" spans="1:1" x14ac:dyDescent="0.3">
      <c r="A35">
        <v>44.36</v>
      </c>
    </row>
    <row r="36" spans="1:1" x14ac:dyDescent="0.3">
      <c r="A36">
        <v>59.99</v>
      </c>
    </row>
    <row r="37" spans="1:1" x14ac:dyDescent="0.3">
      <c r="A37">
        <v>50.35</v>
      </c>
    </row>
    <row r="38" spans="1:1" x14ac:dyDescent="0.3">
      <c r="A38">
        <v>43.28</v>
      </c>
    </row>
    <row r="39" spans="1:1" x14ac:dyDescent="0.3">
      <c r="A39">
        <v>59.3</v>
      </c>
    </row>
    <row r="40" spans="1:1" x14ac:dyDescent="0.3">
      <c r="A40">
        <v>47.45</v>
      </c>
    </row>
    <row r="41" spans="1:1" x14ac:dyDescent="0.3">
      <c r="A41">
        <v>49.95</v>
      </c>
    </row>
    <row r="42" spans="1:1" x14ac:dyDescent="0.3">
      <c r="A42">
        <v>44.83</v>
      </c>
    </row>
    <row r="43" spans="1:1" x14ac:dyDescent="0.3">
      <c r="A43">
        <v>49.98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Страны_СредняяЗП</vt:lpstr>
      <vt:lpstr>Страны_СредняяЗП_в_Колонку</vt:lpstr>
      <vt:lpstr>Лист1</vt:lpstr>
      <vt:lpstr>Лист6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Богдан Смирнов</cp:lastModifiedBy>
  <dcterms:created xsi:type="dcterms:W3CDTF">2015-06-05T18:19:34Z</dcterms:created>
  <dcterms:modified xsi:type="dcterms:W3CDTF">2026-04-29T14:15:09Z</dcterms:modified>
</cp:coreProperties>
</file>