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Honor\OneDrive\Рабочий стол\Lessons\6-semestr\Интеллектуальный анализ данных\Лабораторные работы\ЛР4\"/>
    </mc:Choice>
  </mc:AlternateContent>
  <xr:revisionPtr revIDLastSave="0" documentId="13_ncr:1_{686DEA9E-1B67-40BB-8F83-EE582CFD20E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6" i="1" l="1"/>
  <c r="G7" i="1"/>
  <c r="G10" i="1"/>
  <c r="F3" i="1"/>
  <c r="F2" i="1"/>
  <c r="E4" i="1"/>
  <c r="G4" i="1" s="1"/>
  <c r="E3" i="1"/>
  <c r="G3" i="1" s="1"/>
  <c r="F4" i="1"/>
  <c r="F5" i="1"/>
  <c r="F6" i="1"/>
  <c r="F7" i="1"/>
  <c r="F8" i="1"/>
  <c r="G8" i="1" s="1"/>
  <c r="F9" i="1"/>
  <c r="G9" i="1" s="1"/>
  <c r="F10" i="1"/>
  <c r="E2" i="1"/>
  <c r="G2" i="1" s="1"/>
  <c r="E5" i="1"/>
  <c r="G5" i="1" s="1"/>
  <c r="E6" i="1"/>
  <c r="E7" i="1"/>
  <c r="E8" i="1"/>
  <c r="E9" i="1"/>
  <c r="E10" i="1"/>
</calcChain>
</file>

<file path=xl/sharedStrings.xml><?xml version="1.0" encoding="utf-8"?>
<sst xmlns="http://schemas.openxmlformats.org/spreadsheetml/2006/main" count="7" uniqueCount="7">
  <si>
    <t>m</t>
  </si>
  <si>
    <t xml:space="preserve">J_1 </t>
  </si>
  <si>
    <t>J_2</t>
  </si>
  <si>
    <t>J_3</t>
  </si>
  <si>
    <t>Dij</t>
  </si>
  <si>
    <t>Dii</t>
  </si>
  <si>
    <t>Кластеры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</si>
</sst>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2" fontId="0" fillId="0" borderId="0" xfId="0" applyNumberFormat="1" applyAlignment="1">
      <alignment horizontal="left"/>
    </xf>
    <xf numFmtId="1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Численная</a:t>
            </a:r>
            <a:r>
              <a:rPr lang="ru-RU" baseline="0"/>
              <a:t> мера качества классификации</a:t>
            </a:r>
            <a:endParaRPr lang="ru-RU"/>
          </a:p>
        </c:rich>
      </c:tx>
      <c:layout>
        <c:manualLayout>
          <c:xMode val="edge"/>
          <c:yMode val="edge"/>
          <c:x val="0.12045822397200349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Лист1!$A$2:$A$10</c:f>
              <c:numCache>
                <c:formatCode>0</c:formatCode>
                <c:ptCount val="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</c:numCache>
            </c:numRef>
          </c:cat>
          <c:val>
            <c:numRef>
              <c:f>Лист1!$G$2:$G$10</c:f>
              <c:numCache>
                <c:formatCode>General</c:formatCode>
                <c:ptCount val="9"/>
                <c:pt idx="0">
                  <c:v>2.5445169921807325</c:v>
                </c:pt>
                <c:pt idx="1">
                  <c:v>0.81376108437131056</c:v>
                </c:pt>
                <c:pt idx="2">
                  <c:v>0.42460425400618368</c:v>
                </c:pt>
                <c:pt idx="3">
                  <c:v>0.26699185372588319</c:v>
                </c:pt>
                <c:pt idx="4">
                  <c:v>0.18407360667130587</c:v>
                </c:pt>
                <c:pt idx="5">
                  <c:v>0.13505007193817112</c:v>
                </c:pt>
                <c:pt idx="6">
                  <c:v>0.10407875710312325</c:v>
                </c:pt>
                <c:pt idx="7">
                  <c:v>8.2601397636234572E-2</c:v>
                </c:pt>
                <c:pt idx="8">
                  <c:v>6.7123723734149196E-2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59-483C-B509-8EBA7E30B5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3098416"/>
        <c:axId val="703099496"/>
      </c:lineChart>
      <c:catAx>
        <c:axId val="703098416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3099496"/>
        <c:crosses val="autoZero"/>
        <c:auto val="1"/>
        <c:lblAlgn val="ctr"/>
        <c:lblOffset val="100"/>
        <c:noMultiLvlLbl val="0"/>
      </c:catAx>
      <c:valAx>
        <c:axId val="703099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3098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290512</xdr:colOff>
      <xdr:row>4</xdr:row>
      <xdr:rowOff>157162</xdr:rowOff>
    </xdr:from>
    <xdr:to>
      <xdr:col>15</xdr:col>
      <xdr:colOff>595312</xdr:colOff>
      <xdr:row>19</xdr:row>
      <xdr:rowOff>42862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E551CF84-1CB2-A355-C51A-7361B2B8E0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"/>
  <sheetViews>
    <sheetView tabSelected="1" workbookViewId="0">
      <selection activeCell="K23" sqref="K23"/>
    </sheetView>
  </sheetViews>
  <sheetFormatPr defaultRowHeight="14.4" x14ac:dyDescent="0.3"/>
  <cols>
    <col min="1" max="1" width="9.109375" bestFit="1" customWidth="1"/>
    <col min="2" max="2" width="12" bestFit="1" customWidth="1"/>
    <col min="4" max="4" width="12" bestFit="1" customWidth="1"/>
  </cols>
  <sheetData>
    <row r="1" spans="1:7" x14ac:dyDescent="0.3">
      <c r="A1" t="s">
        <v>6</v>
      </c>
      <c r="B1" t="s">
        <v>5</v>
      </c>
      <c r="C1" t="s">
        <v>0</v>
      </c>
      <c r="D1" t="s">
        <v>4</v>
      </c>
      <c r="E1" t="s">
        <v>1</v>
      </c>
      <c r="F1" t="s">
        <v>2</v>
      </c>
      <c r="G1" t="s">
        <v>3</v>
      </c>
    </row>
    <row r="2" spans="1:7" x14ac:dyDescent="0.3">
      <c r="A2" s="3">
        <v>2</v>
      </c>
      <c r="B2" s="1">
        <v>114190.2</v>
      </c>
      <c r="C2" s="1">
        <v>2</v>
      </c>
      <c r="D2" s="1">
        <v>89753.93</v>
      </c>
      <c r="E2">
        <f>(2/(A2*(A2-1)))*SUM($B$2:B2)</f>
        <v>114190.2</v>
      </c>
      <c r="F2">
        <f>(1/A2)*SUM($D$2:D2)</f>
        <v>44876.964999999997</v>
      </c>
      <c r="G2">
        <f>E2/F2</f>
        <v>2.5445169921807325</v>
      </c>
    </row>
    <row r="3" spans="1:7" x14ac:dyDescent="0.3">
      <c r="A3" s="3">
        <v>3</v>
      </c>
      <c r="B3" s="1">
        <v>68812.73</v>
      </c>
      <c r="C3" s="1">
        <v>3</v>
      </c>
      <c r="D3" s="1">
        <v>135131.4</v>
      </c>
      <c r="E3">
        <f>(2/(A3*(A3-1)))*SUM($B$2:B3)</f>
        <v>61000.976666666662</v>
      </c>
      <c r="F3">
        <f>(1/A3)*SUM($D$2:D3)</f>
        <v>74961.776666666658</v>
      </c>
      <c r="G3">
        <f t="shared" ref="G3:G10" si="0">E3/F3</f>
        <v>0.81376108437131056</v>
      </c>
    </row>
    <row r="4" spans="1:7" x14ac:dyDescent="0.3">
      <c r="A4" s="3">
        <v>4</v>
      </c>
      <c r="B4" s="1">
        <v>55055.88</v>
      </c>
      <c r="C4" s="1">
        <v>4</v>
      </c>
      <c r="D4" s="1">
        <v>148888.29999999999</v>
      </c>
      <c r="E4">
        <f>(2/(A4*(A4-1)))*SUM($B$2:B4)</f>
        <v>39676.468333333331</v>
      </c>
      <c r="F4">
        <f>(1/A4)*SUM($D$2:D4)</f>
        <v>93443.407500000001</v>
      </c>
      <c r="G4">
        <f t="shared" si="0"/>
        <v>0.42460425400618368</v>
      </c>
    </row>
    <row r="5" spans="1:7" x14ac:dyDescent="0.3">
      <c r="A5" s="3">
        <v>5</v>
      </c>
      <c r="B5" s="1">
        <v>45915.13</v>
      </c>
      <c r="C5" s="1">
        <v>5</v>
      </c>
      <c r="D5" s="2">
        <v>158029</v>
      </c>
      <c r="E5">
        <f>(2/(A5*(A5-1)))*SUM($B$2:B5)</f>
        <v>28397.394</v>
      </c>
      <c r="F5">
        <f>(1/A5)*SUM($D$2:D5)</f>
        <v>106360.52600000001</v>
      </c>
      <c r="G5">
        <f t="shared" si="0"/>
        <v>0.26699185372588319</v>
      </c>
    </row>
    <row r="6" spans="1:7" x14ac:dyDescent="0.3">
      <c r="A6" s="3">
        <v>6</v>
      </c>
      <c r="B6" s="1">
        <v>37395.949999999997</v>
      </c>
      <c r="C6" s="1">
        <v>6</v>
      </c>
      <c r="D6" s="1">
        <v>166548.20000000001</v>
      </c>
      <c r="E6">
        <f>(2/(A6*(A6-1)))*SUM($B$2:B6)</f>
        <v>21424.659333333333</v>
      </c>
      <c r="F6">
        <f>(1/A6)*SUM($D$2:D6)</f>
        <v>116391.80500000001</v>
      </c>
      <c r="G6">
        <f t="shared" si="0"/>
        <v>0.18407360667130587</v>
      </c>
    </row>
    <row r="7" spans="1:7" x14ac:dyDescent="0.3">
      <c r="A7" s="3">
        <v>7</v>
      </c>
      <c r="B7" s="1">
        <v>31452.23</v>
      </c>
      <c r="C7" s="1">
        <v>7</v>
      </c>
      <c r="D7" s="1">
        <v>172491.9</v>
      </c>
      <c r="E7">
        <f>(2/(A7*(A7-1)))*SUM($B$2:B7)</f>
        <v>16801.053333333333</v>
      </c>
      <c r="F7">
        <f>(1/A7)*SUM($D$2:D7)</f>
        <v>124406.10428571429</v>
      </c>
      <c r="G7">
        <f t="shared" si="0"/>
        <v>0.13505007193817112</v>
      </c>
    </row>
    <row r="8" spans="1:7" x14ac:dyDescent="0.3">
      <c r="A8" s="3">
        <v>8</v>
      </c>
      <c r="B8" s="1">
        <v>28364.2</v>
      </c>
      <c r="C8" s="1">
        <v>8</v>
      </c>
      <c r="D8" s="2">
        <v>175580</v>
      </c>
      <c r="E8">
        <f>(2/(A8*(A8-1)))*SUM($B$2:B8)</f>
        <v>13613.797142857142</v>
      </c>
      <c r="F8">
        <f>(1/A8)*SUM($D$2:D8)</f>
        <v>130802.84125000001</v>
      </c>
      <c r="G8">
        <f t="shared" si="0"/>
        <v>0.10407875710312325</v>
      </c>
    </row>
    <row r="9" spans="1:7" x14ac:dyDescent="0.3">
      <c r="A9" s="3">
        <v>9</v>
      </c>
      <c r="B9" s="1">
        <v>24009.13</v>
      </c>
      <c r="C9" s="1">
        <v>9</v>
      </c>
      <c r="D9" s="2">
        <v>179935</v>
      </c>
      <c r="E9">
        <f>(2/(A9*(A9-1)))*SUM($B$2:B9)</f>
        <v>11255.429166666667</v>
      </c>
      <c r="F9">
        <f>(1/A9)*SUM($D$2:D9)</f>
        <v>136261.97</v>
      </c>
      <c r="G9">
        <f t="shared" si="0"/>
        <v>8.2601397636234572E-2</v>
      </c>
    </row>
    <row r="10" spans="1:7" x14ac:dyDescent="0.3">
      <c r="A10" s="3">
        <v>10</v>
      </c>
      <c r="B10" s="1">
        <v>20611.16</v>
      </c>
      <c r="C10" s="1">
        <v>10</v>
      </c>
      <c r="D10" s="2">
        <v>183333</v>
      </c>
      <c r="E10">
        <f>(2/(A10*(A10-1)))*SUM($B$2:B10)</f>
        <v>9462.3691111111111</v>
      </c>
      <c r="F10">
        <f>(1/A10)*SUM($D$2:D10)</f>
        <v>140969.073</v>
      </c>
      <c r="G10">
        <f t="shared" si="0"/>
        <v>6.7123723734149196E-2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Богдан Смирнов</cp:lastModifiedBy>
  <dcterms:created xsi:type="dcterms:W3CDTF">2015-06-05T18:19:34Z</dcterms:created>
  <dcterms:modified xsi:type="dcterms:W3CDTF">2026-04-29T13:25:53Z</dcterms:modified>
</cp:coreProperties>
</file>