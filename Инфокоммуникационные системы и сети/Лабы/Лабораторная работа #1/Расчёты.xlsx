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OneDrive\Рабочий стол\Учёба\Инфокоммуникационные системы и сети\Лабы\Лабораторная работа #1\"/>
    </mc:Choice>
  </mc:AlternateContent>
  <xr:revisionPtr revIDLastSave="0" documentId="13_ncr:1_{39D37EA3-1F3A-4BB1-9C4C-990193763B26}" xr6:coauthVersionLast="47" xr6:coauthVersionMax="47" xr10:uidLastSave="{00000000-0000-0000-0000-000000000000}"/>
  <bookViews>
    <workbookView xWindow="-108" yWindow="-108" windowWidth="23256" windowHeight="12456" xr2:uid="{B6974328-E422-4F47-A78E-1D7173140A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F36" i="1" s="1"/>
  <c r="G36" i="1" s="1"/>
  <c r="I2" i="1"/>
  <c r="F37" i="1" s="1"/>
  <c r="G37" i="1" s="1"/>
  <c r="G38" i="1"/>
  <c r="G39" i="1"/>
  <c r="F24" i="1" l="1"/>
  <c r="G24" i="1" s="1"/>
  <c r="F3" i="1"/>
  <c r="F14" i="1"/>
  <c r="G14" i="1" s="1"/>
  <c r="F26" i="1"/>
  <c r="G26" i="1" s="1"/>
  <c r="F40" i="1"/>
  <c r="G40" i="1" s="1"/>
  <c r="F4" i="1"/>
  <c r="G4" i="1" s="1"/>
  <c r="F15" i="1"/>
  <c r="G15" i="1" s="1"/>
  <c r="F27" i="1"/>
  <c r="G27" i="1" s="1"/>
  <c r="F41" i="1"/>
  <c r="G41" i="1" s="1"/>
  <c r="F17" i="1"/>
  <c r="G17" i="1" s="1"/>
  <c r="F28" i="1"/>
  <c r="G28" i="1" s="1"/>
  <c r="F6" i="1"/>
  <c r="G6" i="1" s="1"/>
  <c r="F16" i="1"/>
  <c r="G16" i="1" s="1"/>
  <c r="F29" i="1"/>
  <c r="G29" i="1" s="1"/>
  <c r="F7" i="1"/>
  <c r="G7" i="1" s="1"/>
  <c r="F18" i="1"/>
  <c r="G18" i="1" s="1"/>
  <c r="F31" i="1"/>
  <c r="G31" i="1" s="1"/>
  <c r="F5" i="1"/>
  <c r="F19" i="1"/>
  <c r="G19" i="1" s="1"/>
  <c r="F30" i="1"/>
  <c r="G30" i="1" s="1"/>
  <c r="F8" i="1"/>
  <c r="G8" i="1" s="1"/>
  <c r="F20" i="1"/>
  <c r="G20" i="1" s="1"/>
  <c r="F32" i="1"/>
  <c r="G32" i="1" s="1"/>
  <c r="F9" i="1"/>
  <c r="G9" i="1" s="1"/>
  <c r="F21" i="1"/>
  <c r="G21" i="1" s="1"/>
  <c r="F33" i="1"/>
  <c r="G33" i="1" s="1"/>
  <c r="F10" i="1"/>
  <c r="G10" i="1" s="1"/>
  <c r="F22" i="1"/>
  <c r="G22" i="1" s="1"/>
  <c r="F34" i="1"/>
  <c r="G34" i="1" s="1"/>
  <c r="F11" i="1"/>
  <c r="G11" i="1" s="1"/>
  <c r="F23" i="1"/>
  <c r="G23" i="1" s="1"/>
  <c r="F35" i="1"/>
  <c r="G35" i="1" s="1"/>
  <c r="F12" i="1"/>
  <c r="G12" i="1" s="1"/>
  <c r="F2" i="1"/>
  <c r="G2" i="1" s="1"/>
  <c r="F13" i="1"/>
  <c r="G13" i="1" s="1"/>
  <c r="F25" i="1"/>
  <c r="G25" i="1" s="1"/>
  <c r="G5" i="1"/>
  <c r="G3" i="1"/>
</calcChain>
</file>

<file path=xl/sharedStrings.xml><?xml version="1.0" encoding="utf-8"?>
<sst xmlns="http://schemas.openxmlformats.org/spreadsheetml/2006/main" count="9" uniqueCount="9">
  <si>
    <t>Километры</t>
  </si>
  <si>
    <t>Испытание</t>
  </si>
  <si>
    <t>Частота</t>
  </si>
  <si>
    <t>Напряжение</t>
  </si>
  <si>
    <t>Сдвиг по времени</t>
  </si>
  <si>
    <t>Сдвиг по фазе</t>
  </si>
  <si>
    <t>Микро</t>
  </si>
  <si>
    <t>Мили</t>
  </si>
  <si>
    <t>Напряжение нач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</si>
</sst>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0" xfId="0" applyBorder="1"/>
    <xf numFmtId="0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0" fontId="0" fillId="0" borderId="0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3543-2922-4A67-84C3-2E2D77466F35}">
  <dimension ref="A1:J41"/>
  <sheetViews>
    <sheetView tabSelected="1" workbookViewId="0">
      <selection activeCell="C2" sqref="C2:C11"/>
    </sheetView>
  </sheetViews>
  <sheetFormatPr defaultRowHeight="14.4" x14ac:dyDescent="0.3"/>
  <cols>
    <col min="1" max="1" width="11.109375" bestFit="1" customWidth="1"/>
    <col min="2" max="2" width="11.5546875" bestFit="1" customWidth="1"/>
    <col min="4" max="4" width="16.33203125" bestFit="1" customWidth="1"/>
    <col min="5" max="6" width="17.6640625" bestFit="1" customWidth="1"/>
    <col min="7" max="7" width="13.6640625" bestFit="1" customWidth="1"/>
    <col min="8" max="8" width="22" bestFit="1" customWidth="1"/>
    <col min="9" max="9" width="12" bestFit="1" customWidth="1"/>
  </cols>
  <sheetData>
    <row r="1" spans="1:10" ht="15" thickBot="1" x14ac:dyDescent="0.35">
      <c r="A1" s="13" t="s">
        <v>1</v>
      </c>
      <c r="B1" s="14" t="s">
        <v>0</v>
      </c>
      <c r="C1" s="14" t="s">
        <v>2</v>
      </c>
      <c r="D1" s="14" t="s">
        <v>8</v>
      </c>
      <c r="E1" s="14" t="s">
        <v>3</v>
      </c>
      <c r="F1" s="14" t="s">
        <v>4</v>
      </c>
      <c r="G1" s="15" t="s">
        <v>5</v>
      </c>
      <c r="I1" t="s">
        <v>7</v>
      </c>
      <c r="J1" t="s">
        <v>6</v>
      </c>
    </row>
    <row r="2" spans="1:10" x14ac:dyDescent="0.3">
      <c r="A2" s="6">
        <v>1</v>
      </c>
      <c r="B2" s="7">
        <v>5</v>
      </c>
      <c r="C2" s="7">
        <v>50</v>
      </c>
      <c r="D2" s="7">
        <v>6</v>
      </c>
      <c r="E2" s="7">
        <v>2</v>
      </c>
      <c r="F2" s="8">
        <f xml:space="preserve"> 2 * 2 * $I$2</f>
        <v>4.0000000000000001E-3</v>
      </c>
      <c r="G2" s="9">
        <f>C2*F2*360</f>
        <v>72</v>
      </c>
      <c r="I2">
        <f>10 ^ -3</f>
        <v>1E-3</v>
      </c>
      <c r="J2">
        <f>10 ^ -6</f>
        <v>9.9999999999999995E-7</v>
      </c>
    </row>
    <row r="3" spans="1:10" x14ac:dyDescent="0.3">
      <c r="A3" s="6">
        <v>2</v>
      </c>
      <c r="B3" s="7">
        <v>5</v>
      </c>
      <c r="C3" s="7">
        <v>80</v>
      </c>
      <c r="D3" s="7">
        <v>6</v>
      </c>
      <c r="E3" s="7">
        <v>3</v>
      </c>
      <c r="F3" s="8">
        <f xml:space="preserve"> 1 * 2 * $I$2</f>
        <v>2E-3</v>
      </c>
      <c r="G3" s="9">
        <f>C3*F3*360</f>
        <v>57.6</v>
      </c>
    </row>
    <row r="4" spans="1:10" x14ac:dyDescent="0.3">
      <c r="A4" s="6">
        <v>3</v>
      </c>
      <c r="B4" s="7">
        <v>5</v>
      </c>
      <c r="C4" s="7">
        <v>100</v>
      </c>
      <c r="D4" s="7">
        <v>6</v>
      </c>
      <c r="E4" s="7">
        <v>3.6</v>
      </c>
      <c r="F4" s="8">
        <f>0.8 * 2 * $I$2</f>
        <v>1.6000000000000001E-3</v>
      </c>
      <c r="G4" s="9">
        <f>C4*F4*360</f>
        <v>57.6</v>
      </c>
    </row>
    <row r="5" spans="1:10" x14ac:dyDescent="0.3">
      <c r="A5" s="6">
        <v>4</v>
      </c>
      <c r="B5" s="7">
        <v>5</v>
      </c>
      <c r="C5" s="7">
        <v>1000</v>
      </c>
      <c r="D5" s="7">
        <v>6</v>
      </c>
      <c r="E5" s="7">
        <v>5.9</v>
      </c>
      <c r="F5" s="8">
        <f xml:space="preserve"> 0 * 0.1 * $I$2</f>
        <v>0</v>
      </c>
      <c r="G5" s="9">
        <f>C5*F5*360</f>
        <v>0</v>
      </c>
    </row>
    <row r="6" spans="1:10" x14ac:dyDescent="0.3">
      <c r="A6" s="6">
        <v>5</v>
      </c>
      <c r="B6" s="7">
        <v>5</v>
      </c>
      <c r="C6" s="7">
        <v>10000</v>
      </c>
      <c r="D6" s="7">
        <v>6</v>
      </c>
      <c r="E6" s="7">
        <v>4.2</v>
      </c>
      <c r="F6" s="8">
        <f xml:space="preserve"> 0.8 * 20 * J2</f>
        <v>1.5999999999999999E-5</v>
      </c>
      <c r="G6" s="9">
        <f>C6*F6*360</f>
        <v>57.6</v>
      </c>
    </row>
    <row r="7" spans="1:10" x14ac:dyDescent="0.3">
      <c r="A7" s="6">
        <v>6</v>
      </c>
      <c r="B7" s="7">
        <v>5</v>
      </c>
      <c r="C7" s="7">
        <v>1200</v>
      </c>
      <c r="D7" s="7">
        <v>7</v>
      </c>
      <c r="E7" s="7">
        <v>6.9</v>
      </c>
      <c r="F7" s="8">
        <f xml:space="preserve"> 0 * 0.2 * J2</f>
        <v>0</v>
      </c>
      <c r="G7" s="9">
        <f>C7*F7*360</f>
        <v>0</v>
      </c>
    </row>
    <row r="8" spans="1:10" x14ac:dyDescent="0.3">
      <c r="A8" s="6">
        <v>7</v>
      </c>
      <c r="B8" s="7">
        <v>5</v>
      </c>
      <c r="C8" s="7">
        <v>12000</v>
      </c>
      <c r="D8" s="7">
        <v>7</v>
      </c>
      <c r="E8" s="7">
        <v>5</v>
      </c>
      <c r="F8" s="8">
        <f xml:space="preserve"> 1.2 * 10 * J2</f>
        <v>1.2E-5</v>
      </c>
      <c r="G8" s="9">
        <f>C8*F8*360</f>
        <v>51.84</v>
      </c>
    </row>
    <row r="9" spans="1:10" x14ac:dyDescent="0.3">
      <c r="A9" s="6">
        <v>8</v>
      </c>
      <c r="B9" s="7">
        <v>5</v>
      </c>
      <c r="C9" s="7">
        <v>16000</v>
      </c>
      <c r="D9" s="7">
        <v>7</v>
      </c>
      <c r="E9" s="7">
        <v>4.0999999999999996</v>
      </c>
      <c r="F9" s="8">
        <f xml:space="preserve"> 1.1 * 10 * J2</f>
        <v>1.1E-5</v>
      </c>
      <c r="G9" s="9">
        <f>C9*F9*360</f>
        <v>63.36</v>
      </c>
    </row>
    <row r="10" spans="1:10" x14ac:dyDescent="0.3">
      <c r="A10" s="6">
        <v>9</v>
      </c>
      <c r="B10" s="7">
        <v>5</v>
      </c>
      <c r="C10" s="7">
        <v>20000</v>
      </c>
      <c r="D10" s="7">
        <v>11</v>
      </c>
      <c r="E10" s="7">
        <v>5.8</v>
      </c>
      <c r="F10" s="8">
        <f xml:space="preserve"> 1 * 10 * J2</f>
        <v>9.9999999999999991E-6</v>
      </c>
      <c r="G10" s="9">
        <f>C10*F10*360</f>
        <v>72</v>
      </c>
    </row>
    <row r="11" spans="1:10" ht="15" thickBot="1" x14ac:dyDescent="0.35">
      <c r="A11" s="10">
        <v>10</v>
      </c>
      <c r="B11" s="11">
        <v>5</v>
      </c>
      <c r="C11" s="11">
        <v>100000</v>
      </c>
      <c r="D11" s="11">
        <v>11</v>
      </c>
      <c r="E11" s="11">
        <v>1</v>
      </c>
      <c r="F11" s="12">
        <f xml:space="preserve"> 4.5 * 1 * J2</f>
        <v>4.5000000000000001E-6</v>
      </c>
      <c r="G11" s="1">
        <f>C11*F11*360</f>
        <v>162</v>
      </c>
    </row>
    <row r="12" spans="1:10" x14ac:dyDescent="0.3">
      <c r="A12" s="2">
        <v>1</v>
      </c>
      <c r="B12" s="3">
        <v>3</v>
      </c>
      <c r="C12" s="3">
        <v>50</v>
      </c>
      <c r="D12" s="3">
        <v>6</v>
      </c>
      <c r="E12" s="3">
        <v>3</v>
      </c>
      <c r="F12" s="4">
        <f xml:space="preserve"> 1.7 * 2 * $I$2</f>
        <v>3.3999999999999998E-3</v>
      </c>
      <c r="G12" s="5">
        <f>C12*F12*360</f>
        <v>61.199999999999996</v>
      </c>
    </row>
    <row r="13" spans="1:10" x14ac:dyDescent="0.3">
      <c r="A13" s="6">
        <v>2</v>
      </c>
      <c r="B13" s="7">
        <v>3</v>
      </c>
      <c r="C13" s="7">
        <v>80</v>
      </c>
      <c r="D13" s="7">
        <v>6</v>
      </c>
      <c r="E13" s="7">
        <v>4.0999999999999996</v>
      </c>
      <c r="F13" s="8">
        <f xml:space="preserve"> 0.8 *2 * $I$2</f>
        <v>1.6000000000000001E-3</v>
      </c>
      <c r="G13" s="9">
        <f>C13*F13*360</f>
        <v>46.08</v>
      </c>
    </row>
    <row r="14" spans="1:10" x14ac:dyDescent="0.3">
      <c r="A14" s="6">
        <v>3</v>
      </c>
      <c r="B14" s="7">
        <v>3</v>
      </c>
      <c r="C14" s="7">
        <v>100</v>
      </c>
      <c r="D14" s="7">
        <v>6</v>
      </c>
      <c r="E14" s="7">
        <v>4.4000000000000004</v>
      </c>
      <c r="F14" s="8">
        <f xml:space="preserve"> 0.6 * 2 * $I$2</f>
        <v>1.1999999999999999E-3</v>
      </c>
      <c r="G14" s="9">
        <f>C14*F14*360</f>
        <v>43.199999999999996</v>
      </c>
    </row>
    <row r="15" spans="1:10" x14ac:dyDescent="0.3">
      <c r="A15" s="6">
        <v>4</v>
      </c>
      <c r="B15" s="7">
        <v>3</v>
      </c>
      <c r="C15" s="7">
        <v>1000</v>
      </c>
      <c r="D15" s="7">
        <v>6</v>
      </c>
      <c r="E15" s="7">
        <v>6</v>
      </c>
      <c r="F15" s="8">
        <f xml:space="preserve"> 0* $I$2</f>
        <v>0</v>
      </c>
      <c r="G15" s="9">
        <f>C15*F15*360</f>
        <v>0</v>
      </c>
    </row>
    <row r="16" spans="1:10" x14ac:dyDescent="0.3">
      <c r="A16" s="6">
        <v>5</v>
      </c>
      <c r="B16" s="7">
        <v>3</v>
      </c>
      <c r="C16" s="7">
        <v>10000</v>
      </c>
      <c r="D16" s="7">
        <v>6</v>
      </c>
      <c r="E16" s="7">
        <v>5.8</v>
      </c>
      <c r="F16" s="8">
        <f xml:space="preserve"> 0.6 * 10 * J2</f>
        <v>6.0000000000000002E-6</v>
      </c>
      <c r="G16" s="9">
        <f>C16*F16*360</f>
        <v>21.6</v>
      </c>
    </row>
    <row r="17" spans="1:7" x14ac:dyDescent="0.3">
      <c r="A17" s="6">
        <v>6</v>
      </c>
      <c r="B17" s="7">
        <v>3</v>
      </c>
      <c r="C17" s="7">
        <v>1200</v>
      </c>
      <c r="D17" s="7">
        <v>7</v>
      </c>
      <c r="E17" s="7">
        <v>7</v>
      </c>
      <c r="F17" s="8">
        <f xml:space="preserve"> 0 * $I$2</f>
        <v>0</v>
      </c>
      <c r="G17" s="9">
        <f>C17*F17*360</f>
        <v>0</v>
      </c>
    </row>
    <row r="18" spans="1:7" x14ac:dyDescent="0.3">
      <c r="A18" s="6">
        <v>7</v>
      </c>
      <c r="B18" s="7">
        <v>3</v>
      </c>
      <c r="C18" s="7">
        <v>12000</v>
      </c>
      <c r="D18" s="7">
        <v>7</v>
      </c>
      <c r="E18" s="7">
        <v>6.5</v>
      </c>
      <c r="F18" s="8">
        <f>0.6 * 10 * J2</f>
        <v>6.0000000000000002E-6</v>
      </c>
      <c r="G18" s="9">
        <f>C18*F18*360</f>
        <v>25.92</v>
      </c>
    </row>
    <row r="19" spans="1:7" x14ac:dyDescent="0.3">
      <c r="A19" s="6">
        <v>8</v>
      </c>
      <c r="B19" s="7">
        <v>3</v>
      </c>
      <c r="C19" s="7">
        <v>16000</v>
      </c>
      <c r="D19" s="7">
        <v>7</v>
      </c>
      <c r="E19" s="7">
        <v>6</v>
      </c>
      <c r="F19" s="8">
        <f xml:space="preserve"> 0.6 * 10 * J2</f>
        <v>6.0000000000000002E-6</v>
      </c>
      <c r="G19" s="9">
        <f>C19*F19*360</f>
        <v>34.56</v>
      </c>
    </row>
    <row r="20" spans="1:7" x14ac:dyDescent="0.3">
      <c r="A20" s="6">
        <v>9</v>
      </c>
      <c r="B20" s="7">
        <v>3</v>
      </c>
      <c r="C20" s="7">
        <v>20000</v>
      </c>
      <c r="D20" s="7">
        <v>11</v>
      </c>
      <c r="E20" s="7">
        <v>8.6</v>
      </c>
      <c r="F20" s="8">
        <f xml:space="preserve"> 0.6 * 10 * J2</f>
        <v>6.0000000000000002E-6</v>
      </c>
      <c r="G20" s="9">
        <f>C20*F20*360</f>
        <v>43.2</v>
      </c>
    </row>
    <row r="21" spans="1:7" ht="15" thickBot="1" x14ac:dyDescent="0.35">
      <c r="A21" s="10">
        <v>10</v>
      </c>
      <c r="B21" s="11">
        <v>3</v>
      </c>
      <c r="C21" s="11">
        <v>100000</v>
      </c>
      <c r="D21" s="11">
        <v>11</v>
      </c>
      <c r="E21" s="11">
        <v>2.4</v>
      </c>
      <c r="F21" s="12">
        <f xml:space="preserve"> 1.5 * 2 * J2</f>
        <v>3.0000000000000001E-6</v>
      </c>
      <c r="G21" s="1">
        <f>C21*F21*360</f>
        <v>108</v>
      </c>
    </row>
    <row r="22" spans="1:7" x14ac:dyDescent="0.3">
      <c r="A22" s="2">
        <v>1</v>
      </c>
      <c r="B22" s="3">
        <v>2</v>
      </c>
      <c r="C22" s="3">
        <v>50</v>
      </c>
      <c r="D22" s="3">
        <v>6</v>
      </c>
      <c r="E22" s="3">
        <v>4</v>
      </c>
      <c r="F22" s="4">
        <f xml:space="preserve"> 0.6 * 5 * $I$2</f>
        <v>3.0000000000000001E-3</v>
      </c>
      <c r="G22" s="5">
        <f>C22*F22*360</f>
        <v>54</v>
      </c>
    </row>
    <row r="23" spans="1:7" x14ac:dyDescent="0.3">
      <c r="A23" s="6">
        <v>2</v>
      </c>
      <c r="B23" s="7">
        <v>2</v>
      </c>
      <c r="C23" s="7">
        <v>80</v>
      </c>
      <c r="D23" s="7">
        <v>6</v>
      </c>
      <c r="E23" s="7">
        <v>4.5999999999999996</v>
      </c>
      <c r="F23" s="8">
        <f xml:space="preserve"> 0.3 * 5 * $I$2</f>
        <v>1.5E-3</v>
      </c>
      <c r="G23" s="9">
        <f>C23*F23*360</f>
        <v>43.199999999999996</v>
      </c>
    </row>
    <row r="24" spans="1:7" x14ac:dyDescent="0.3">
      <c r="A24" s="6">
        <v>3</v>
      </c>
      <c r="B24" s="7">
        <v>2</v>
      </c>
      <c r="C24" s="7">
        <v>100</v>
      </c>
      <c r="D24" s="7">
        <v>6</v>
      </c>
      <c r="E24" s="7">
        <v>5.4</v>
      </c>
      <c r="F24" s="8">
        <f xml:space="preserve"> 0.3 * 5 * $I$2</f>
        <v>1.5E-3</v>
      </c>
      <c r="G24" s="9">
        <f>C24*F24*360</f>
        <v>54</v>
      </c>
    </row>
    <row r="25" spans="1:7" x14ac:dyDescent="0.3">
      <c r="A25" s="6">
        <v>4</v>
      </c>
      <c r="B25" s="7">
        <v>2</v>
      </c>
      <c r="C25" s="7">
        <v>1000</v>
      </c>
      <c r="D25" s="7">
        <v>6</v>
      </c>
      <c r="E25" s="7">
        <v>6</v>
      </c>
      <c r="F25" s="8">
        <f xml:space="preserve"> 0 * $I$2</f>
        <v>0</v>
      </c>
      <c r="G25" s="9">
        <f>C25*F25*360</f>
        <v>0</v>
      </c>
    </row>
    <row r="26" spans="1:7" x14ac:dyDescent="0.3">
      <c r="A26" s="6">
        <v>5</v>
      </c>
      <c r="B26" s="7">
        <v>2</v>
      </c>
      <c r="C26" s="7">
        <v>10000</v>
      </c>
      <c r="D26" s="7">
        <v>6</v>
      </c>
      <c r="E26" s="7">
        <v>5.9</v>
      </c>
      <c r="F26" s="8">
        <f xml:space="preserve"> 0.3 * 10 * J2</f>
        <v>3.0000000000000001E-6</v>
      </c>
      <c r="G26" s="9">
        <f>C26*F26*360</f>
        <v>10.8</v>
      </c>
    </row>
    <row r="27" spans="1:7" x14ac:dyDescent="0.3">
      <c r="A27" s="6">
        <v>6</v>
      </c>
      <c r="B27" s="7">
        <v>2</v>
      </c>
      <c r="C27" s="7">
        <v>1200</v>
      </c>
      <c r="D27" s="7">
        <v>7</v>
      </c>
      <c r="E27" s="7">
        <v>7</v>
      </c>
      <c r="F27" s="8">
        <f xml:space="preserve"> 0 * $I$2</f>
        <v>0</v>
      </c>
      <c r="G27" s="9">
        <f>C27*F27*360</f>
        <v>0</v>
      </c>
    </row>
    <row r="28" spans="1:7" x14ac:dyDescent="0.3">
      <c r="A28" s="6">
        <v>7</v>
      </c>
      <c r="B28" s="7">
        <v>2</v>
      </c>
      <c r="C28" s="7">
        <v>12000</v>
      </c>
      <c r="D28" s="7">
        <v>7</v>
      </c>
      <c r="E28" s="7">
        <v>6.9</v>
      </c>
      <c r="F28" s="8">
        <f xml:space="preserve"> 0.5 * 10 * J2</f>
        <v>4.9999999999999996E-6</v>
      </c>
      <c r="G28" s="9">
        <f>C28*F28*360</f>
        <v>21.599999999999998</v>
      </c>
    </row>
    <row r="29" spans="1:7" x14ac:dyDescent="0.3">
      <c r="A29" s="6">
        <v>8</v>
      </c>
      <c r="B29" s="7">
        <v>2</v>
      </c>
      <c r="C29" s="7">
        <v>16000</v>
      </c>
      <c r="D29" s="7">
        <v>7</v>
      </c>
      <c r="E29" s="7">
        <v>6.8</v>
      </c>
      <c r="F29" s="8">
        <f xml:space="preserve"> 0.7 * 5 * J2</f>
        <v>3.4999999999999999E-6</v>
      </c>
      <c r="G29" s="9">
        <f>C29*F29*360</f>
        <v>20.16</v>
      </c>
    </row>
    <row r="30" spans="1:7" x14ac:dyDescent="0.3">
      <c r="A30" s="6">
        <v>9</v>
      </c>
      <c r="B30" s="7">
        <v>2</v>
      </c>
      <c r="C30" s="7">
        <v>20000</v>
      </c>
      <c r="D30" s="7">
        <v>11</v>
      </c>
      <c r="E30" s="7">
        <v>10.6</v>
      </c>
      <c r="F30" s="8">
        <f xml:space="preserve"> 0.7 * 5 *J2</f>
        <v>3.4999999999999999E-6</v>
      </c>
      <c r="G30" s="9">
        <f>C30*F30*360</f>
        <v>25.199999999999996</v>
      </c>
    </row>
    <row r="31" spans="1:7" ht="15" thickBot="1" x14ac:dyDescent="0.35">
      <c r="A31" s="10">
        <v>10</v>
      </c>
      <c r="B31" s="11">
        <v>2</v>
      </c>
      <c r="C31" s="11">
        <v>100000</v>
      </c>
      <c r="D31" s="11">
        <v>11</v>
      </c>
      <c r="E31" s="11">
        <v>5.2</v>
      </c>
      <c r="F31" s="12">
        <f xml:space="preserve"> 0.3 * 5 * J2</f>
        <v>1.5E-6</v>
      </c>
      <c r="G31" s="1">
        <f>C31*F31*360</f>
        <v>54</v>
      </c>
    </row>
    <row r="32" spans="1:7" x14ac:dyDescent="0.3">
      <c r="A32" s="2">
        <v>1</v>
      </c>
      <c r="B32" s="3">
        <v>1</v>
      </c>
      <c r="C32" s="3">
        <v>50</v>
      </c>
      <c r="D32" s="3">
        <v>6</v>
      </c>
      <c r="E32" s="3">
        <v>5.6</v>
      </c>
      <c r="F32" s="4">
        <f xml:space="preserve"> 0.9 * 2 * $I$2</f>
        <v>1.8000000000000002E-3</v>
      </c>
      <c r="G32" s="5">
        <f>C32*F32*360</f>
        <v>32.400000000000006</v>
      </c>
    </row>
    <row r="33" spans="1:7" x14ac:dyDescent="0.3">
      <c r="A33" s="6">
        <v>2</v>
      </c>
      <c r="B33" s="7">
        <v>1</v>
      </c>
      <c r="C33" s="7">
        <v>80</v>
      </c>
      <c r="D33" s="7">
        <v>6</v>
      </c>
      <c r="E33" s="7">
        <v>5.8</v>
      </c>
      <c r="F33" s="8">
        <f>0.9 * 1 * $I$2</f>
        <v>9.0000000000000008E-4</v>
      </c>
      <c r="G33" s="9">
        <f>C33*F33*360</f>
        <v>25.92</v>
      </c>
    </row>
    <row r="34" spans="1:7" x14ac:dyDescent="0.3">
      <c r="A34" s="6">
        <v>3</v>
      </c>
      <c r="B34" s="7">
        <v>1</v>
      </c>
      <c r="C34" s="7">
        <v>100</v>
      </c>
      <c r="D34" s="7">
        <v>6</v>
      </c>
      <c r="E34" s="7">
        <v>5.9</v>
      </c>
      <c r="F34" s="8">
        <f xml:space="preserve"> 0.4 * 1 * $I$2</f>
        <v>4.0000000000000002E-4</v>
      </c>
      <c r="G34" s="9">
        <f>C34*F34*360</f>
        <v>14.4</v>
      </c>
    </row>
    <row r="35" spans="1:7" x14ac:dyDescent="0.3">
      <c r="A35" s="6">
        <v>4</v>
      </c>
      <c r="B35" s="7">
        <v>1</v>
      </c>
      <c r="C35" s="7">
        <v>1000</v>
      </c>
      <c r="D35" s="7">
        <v>6</v>
      </c>
      <c r="E35" s="16">
        <v>6</v>
      </c>
      <c r="F35" s="8">
        <f xml:space="preserve"> 0 * $I$2</f>
        <v>0</v>
      </c>
      <c r="G35" s="9">
        <f>C35*F35*360</f>
        <v>0</v>
      </c>
    </row>
    <row r="36" spans="1:7" x14ac:dyDescent="0.3">
      <c r="A36" s="6">
        <v>5</v>
      </c>
      <c r="B36" s="7">
        <v>1</v>
      </c>
      <c r="C36" s="7">
        <v>10000</v>
      </c>
      <c r="D36" s="7">
        <v>6</v>
      </c>
      <c r="E36" s="16">
        <v>6</v>
      </c>
      <c r="F36" s="8">
        <f xml:space="preserve"> 0 * J2</f>
        <v>0</v>
      </c>
      <c r="G36" s="9">
        <f>C36*F36*360</f>
        <v>0</v>
      </c>
    </row>
    <row r="37" spans="1:7" x14ac:dyDescent="0.3">
      <c r="A37" s="6">
        <v>6</v>
      </c>
      <c r="B37" s="7">
        <v>1</v>
      </c>
      <c r="C37" s="7">
        <v>1200</v>
      </c>
      <c r="D37" s="7">
        <v>7</v>
      </c>
      <c r="E37" s="16">
        <v>7</v>
      </c>
      <c r="F37" s="8">
        <f xml:space="preserve"> 0 * $I$2</f>
        <v>0</v>
      </c>
      <c r="G37" s="9">
        <f>C37*F37*360</f>
        <v>0</v>
      </c>
    </row>
    <row r="38" spans="1:7" x14ac:dyDescent="0.3">
      <c r="A38" s="6">
        <v>7</v>
      </c>
      <c r="B38" s="7">
        <v>1</v>
      </c>
      <c r="C38" s="7">
        <v>12000</v>
      </c>
      <c r="D38" s="7">
        <v>7</v>
      </c>
      <c r="E38" s="16">
        <v>7</v>
      </c>
      <c r="F38" s="17">
        <v>0</v>
      </c>
      <c r="G38" s="9">
        <f>C38*F38*360</f>
        <v>0</v>
      </c>
    </row>
    <row r="39" spans="1:7" x14ac:dyDescent="0.3">
      <c r="A39" s="6">
        <v>8</v>
      </c>
      <c r="B39" s="7">
        <v>1</v>
      </c>
      <c r="C39" s="7">
        <v>16000</v>
      </c>
      <c r="D39" s="7">
        <v>7</v>
      </c>
      <c r="E39" s="16">
        <v>7</v>
      </c>
      <c r="F39" s="17">
        <v>0</v>
      </c>
      <c r="G39" s="9">
        <f>C39*F39*360</f>
        <v>0</v>
      </c>
    </row>
    <row r="40" spans="1:7" x14ac:dyDescent="0.3">
      <c r="A40" s="6">
        <v>9</v>
      </c>
      <c r="B40" s="7">
        <v>1</v>
      </c>
      <c r="C40" s="7">
        <v>20000</v>
      </c>
      <c r="D40" s="7">
        <v>11</v>
      </c>
      <c r="E40" s="16">
        <v>10.8</v>
      </c>
      <c r="F40" s="8">
        <f>0.3 * 5 * J2</f>
        <v>1.5E-6</v>
      </c>
      <c r="G40" s="9">
        <f>C40*F40*360</f>
        <v>10.8</v>
      </c>
    </row>
    <row r="41" spans="1:7" ht="15" thickBot="1" x14ac:dyDescent="0.35">
      <c r="A41" s="10">
        <v>10</v>
      </c>
      <c r="B41" s="11">
        <v>1</v>
      </c>
      <c r="C41" s="11">
        <v>100000</v>
      </c>
      <c r="D41" s="11">
        <v>11</v>
      </c>
      <c r="E41" s="11">
        <v>9.6</v>
      </c>
      <c r="F41" s="12">
        <f>0.2 * 5 *J2</f>
        <v>9.9999999999999995E-7</v>
      </c>
      <c r="G41" s="1">
        <f>C41*F41*360</f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Богдан Смирнов</dc:creator>
  <cp:lastModifiedBy>Богдан Смирнов</cp:lastModifiedBy>
  <dcterms:created xsi:type="dcterms:W3CDTF">2026-02-27T18:06:05Z</dcterms:created>
  <dcterms:modified xsi:type="dcterms:W3CDTF">2026-02-28T09:15:51Z</dcterms:modified>
</cp:coreProperties>
</file>